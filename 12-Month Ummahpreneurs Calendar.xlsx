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ujahid/Desktop/Ummahpreneur/2026/"/>
    </mc:Choice>
  </mc:AlternateContent>
  <xr:revisionPtr revIDLastSave="0" documentId="13_ncr:1_{F0E06931-5739-334B-B472-1B348562F66B}" xr6:coauthVersionLast="47" xr6:coauthVersionMax="47" xr10:uidLastSave="{00000000-0000-0000-0000-000000000000}"/>
  <bookViews>
    <workbookView xWindow="0" yWindow="600" windowWidth="28800" windowHeight="16320" activeTab="8" xr2:uid="{00000000-000D-0000-FFFF-FFFF00000000}"/>
  </bookViews>
  <sheets>
    <sheet name="JANUARY" sheetId="2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definedNames>
    <definedName name="CalendarYear">JANUARY!$C$2</definedName>
    <definedName name="DaysAndWeeks">{0,1,2,3,4,5,6} + {0;1;2;3;4;5}*7</definedName>
    <definedName name="_xlnm.Print_Area" localSheetId="0">JANUARY!$A$3:$H$17</definedName>
    <definedName name="WeekStart">JANUARY!$E$2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14" i="8" s="1" a="1"/>
  <c r="B14" i="8" l="1"/>
  <c r="F14" i="8"/>
  <c r="C14" i="8"/>
  <c r="G14" i="8"/>
  <c r="E14" i="8"/>
  <c r="D14" i="8"/>
  <c r="H14" i="8"/>
  <c r="B1" i="9"/>
  <c r="B1" i="11"/>
  <c r="B1" i="10"/>
  <c r="B1" i="7"/>
  <c r="B1" i="8"/>
  <c r="B14" i="12" a="1"/>
  <c r="B14" i="12" s="1"/>
  <c r="B8" i="12" a="1"/>
  <c r="B8" i="12" s="1"/>
  <c r="G14" i="12" l="1"/>
  <c r="F14" i="12"/>
  <c r="E14" i="12"/>
  <c r="D14" i="12"/>
  <c r="C14" i="12"/>
  <c r="H14" i="12"/>
  <c r="H8" i="12"/>
  <c r="G8" i="12"/>
  <c r="F8" i="12"/>
  <c r="E8" i="12"/>
  <c r="D8" i="12"/>
  <c r="C8" i="12"/>
  <c r="B1" i="12"/>
  <c r="B1" i="13"/>
  <c r="B1" i="6"/>
  <c r="B1" i="5"/>
  <c r="B1" i="4"/>
  <c r="B1" i="3"/>
  <c r="B14" i="13" l="1" a="1"/>
  <c r="B14" i="13" s="1"/>
  <c r="B12" i="13" a="1"/>
  <c r="B12" i="13" s="1"/>
  <c r="B10" i="13" a="1"/>
  <c r="B10" i="13" s="1"/>
  <c r="B8" i="13" a="1"/>
  <c r="B8" i="13" s="1"/>
  <c r="B6" i="13" a="1"/>
  <c r="B6" i="13" s="1"/>
  <c r="B4" i="13" a="1"/>
  <c r="B4" i="13" s="1"/>
  <c r="B12" i="12" a="1"/>
  <c r="B12" i="12" s="1"/>
  <c r="B10" i="12" a="1"/>
  <c r="B10" i="12" s="1"/>
  <c r="B6" i="12" a="1"/>
  <c r="D6" i="12" s="1"/>
  <c r="B4" i="12" a="1"/>
  <c r="B4" i="12" s="1"/>
  <c r="B14" i="11" a="1"/>
  <c r="C14" i="11" s="1"/>
  <c r="B12" i="11" a="1"/>
  <c r="B12" i="11" s="1"/>
  <c r="B10" i="11" a="1"/>
  <c r="B10" i="11" s="1"/>
  <c r="B8" i="11" a="1"/>
  <c r="B8" i="11" s="1"/>
  <c r="B6" i="11" a="1"/>
  <c r="B6" i="11" s="1"/>
  <c r="B4" i="11" a="1"/>
  <c r="B4" i="11" s="1"/>
  <c r="B14" i="10" a="1"/>
  <c r="B14" i="10" s="1"/>
  <c r="B12" i="10" a="1"/>
  <c r="B12" i="10" s="1"/>
  <c r="B10" i="10" a="1"/>
  <c r="B10" i="10" s="1"/>
  <c r="B8" i="10" a="1"/>
  <c r="B8" i="10" s="1"/>
  <c r="B6" i="10" a="1"/>
  <c r="B6" i="10" s="1"/>
  <c r="B4" i="10" a="1"/>
  <c r="B4" i="10" s="1"/>
  <c r="B14" i="9" a="1"/>
  <c r="B14" i="9" s="1"/>
  <c r="B12" i="9" a="1"/>
  <c r="B12" i="9" s="1"/>
  <c r="B10" i="9" a="1"/>
  <c r="B10" i="9" s="1"/>
  <c r="B8" i="9" a="1"/>
  <c r="B8" i="9" s="1"/>
  <c r="B6" i="9" a="1"/>
  <c r="B6" i="9" s="1"/>
  <c r="B4" i="9" a="1"/>
  <c r="B4" i="9" s="1"/>
  <c r="B12" i="8" a="1"/>
  <c r="B12" i="8" s="1"/>
  <c r="B10" i="8" a="1"/>
  <c r="B10" i="8" s="1"/>
  <c r="B8" i="8" a="1"/>
  <c r="B8" i="8" s="1"/>
  <c r="B6" i="8" a="1"/>
  <c r="B6" i="8" s="1"/>
  <c r="B4" i="8" a="1"/>
  <c r="B4" i="8" s="1"/>
  <c r="B14" i="7" a="1"/>
  <c r="B14" i="7" s="1"/>
  <c r="B12" i="7" a="1"/>
  <c r="B12" i="7" s="1"/>
  <c r="B10" i="7" a="1"/>
  <c r="B10" i="7" s="1"/>
  <c r="B8" i="7" a="1"/>
  <c r="B8" i="7" s="1"/>
  <c r="B6" i="7" a="1"/>
  <c r="B6" i="7" s="1"/>
  <c r="B4" i="7" a="1"/>
  <c r="B4" i="7" s="1"/>
  <c r="B14" i="6" a="1"/>
  <c r="B14" i="6" s="1"/>
  <c r="B12" i="6" a="1"/>
  <c r="B12" i="6" s="1"/>
  <c r="B10" i="6" a="1"/>
  <c r="B10" i="6" s="1"/>
  <c r="B8" i="6" a="1"/>
  <c r="B8" i="6" s="1"/>
  <c r="B6" i="6" a="1"/>
  <c r="B6" i="6" s="1"/>
  <c r="B4" i="6" a="1"/>
  <c r="B4" i="6" s="1"/>
  <c r="B14" i="5" a="1"/>
  <c r="B14" i="5" s="1"/>
  <c r="B12" i="5" a="1"/>
  <c r="B12" i="5" s="1"/>
  <c r="B10" i="5" a="1"/>
  <c r="B10" i="5" s="1"/>
  <c r="B8" i="5" a="1"/>
  <c r="B8" i="5" s="1"/>
  <c r="B6" i="5" a="1"/>
  <c r="B6" i="5" s="1"/>
  <c r="B4" i="5" a="1"/>
  <c r="B4" i="5" s="1"/>
  <c r="B14" i="4" a="1"/>
  <c r="B14" i="4" s="1"/>
  <c r="B12" i="4" a="1"/>
  <c r="B12" i="4" s="1"/>
  <c r="B10" i="4" a="1"/>
  <c r="B10" i="4" s="1"/>
  <c r="B8" i="4" a="1"/>
  <c r="B8" i="4" s="1"/>
  <c r="B6" i="4" a="1"/>
  <c r="B6" i="4" s="1"/>
  <c r="B4" i="4" a="1"/>
  <c r="C4" i="4" s="1"/>
  <c r="C3" i="4" s="1"/>
  <c r="B14" i="3" a="1"/>
  <c r="B14" i="3" s="1"/>
  <c r="B12" i="3" a="1"/>
  <c r="B12" i="3" s="1"/>
  <c r="B10" i="3" a="1"/>
  <c r="B10" i="3" s="1"/>
  <c r="B8" i="3" a="1"/>
  <c r="B8" i="3" s="1"/>
  <c r="B6" i="3" a="1"/>
  <c r="B6" i="3" s="1"/>
  <c r="B4" i="3" a="1"/>
  <c r="B4" i="3" s="1"/>
  <c r="B16" i="2" a="1"/>
  <c r="B16" i="2" s="1"/>
  <c r="B14" i="2" a="1"/>
  <c r="B14" i="2" s="1"/>
  <c r="B12" i="2" a="1"/>
  <c r="B12" i="2" s="1"/>
  <c r="B10" i="2" a="1"/>
  <c r="B10" i="2" s="1"/>
  <c r="B8" i="2" a="1"/>
  <c r="F8" i="2" s="1"/>
  <c r="B6" i="2" a="1"/>
  <c r="F6" i="2" s="1"/>
  <c r="F5" i="2" s="1"/>
  <c r="G14" i="13" l="1"/>
  <c r="H14" i="13"/>
  <c r="F14" i="13"/>
  <c r="E14" i="13"/>
  <c r="D14" i="13"/>
  <c r="C14" i="13"/>
  <c r="G12" i="13"/>
  <c r="F12" i="13"/>
  <c r="H12" i="13"/>
  <c r="E12" i="13"/>
  <c r="D12" i="13"/>
  <c r="C12" i="13"/>
  <c r="H10" i="13"/>
  <c r="G10" i="13"/>
  <c r="F10" i="13"/>
  <c r="E10" i="13"/>
  <c r="D10" i="13"/>
  <c r="C10" i="13"/>
  <c r="H8" i="13"/>
  <c r="G8" i="13"/>
  <c r="F8" i="13"/>
  <c r="E8" i="13"/>
  <c r="D8" i="13"/>
  <c r="C8" i="13"/>
  <c r="G6" i="13"/>
  <c r="H6" i="13"/>
  <c r="F6" i="13"/>
  <c r="E6" i="13"/>
  <c r="D6" i="13"/>
  <c r="C6" i="13"/>
  <c r="G4" i="13"/>
  <c r="G3" i="13" s="1"/>
  <c r="H4" i="13"/>
  <c r="H3" i="13" s="1"/>
  <c r="F4" i="13"/>
  <c r="F3" i="13" s="1"/>
  <c r="E4" i="13"/>
  <c r="E3" i="13" s="1"/>
  <c r="D4" i="13"/>
  <c r="D3" i="13" s="1"/>
  <c r="C4" i="13"/>
  <c r="C3" i="13" s="1"/>
  <c r="G12" i="12"/>
  <c r="H12" i="12"/>
  <c r="F12" i="12"/>
  <c r="E12" i="12"/>
  <c r="D12" i="12"/>
  <c r="C12" i="12"/>
  <c r="H10" i="12"/>
  <c r="G10" i="12"/>
  <c r="F10" i="12"/>
  <c r="E10" i="12"/>
  <c r="D10" i="12"/>
  <c r="C10" i="12"/>
  <c r="B6" i="12"/>
  <c r="H6" i="12"/>
  <c r="G6" i="12"/>
  <c r="C6" i="12"/>
  <c r="F6" i="12"/>
  <c r="E6" i="12"/>
  <c r="G4" i="12"/>
  <c r="G3" i="12" s="1"/>
  <c r="F4" i="12"/>
  <c r="F3" i="12" s="1"/>
  <c r="H4" i="12"/>
  <c r="H3" i="12" s="1"/>
  <c r="E4" i="12"/>
  <c r="E3" i="12" s="1"/>
  <c r="C4" i="12"/>
  <c r="C3" i="12" s="1"/>
  <c r="D4" i="12"/>
  <c r="D3" i="12" s="1"/>
  <c r="H14" i="11"/>
  <c r="G14" i="11"/>
  <c r="F14" i="11"/>
  <c r="E14" i="11"/>
  <c r="B14" i="11"/>
  <c r="D14" i="11"/>
  <c r="H12" i="11"/>
  <c r="G12" i="11"/>
  <c r="F12" i="11"/>
  <c r="E12" i="11"/>
  <c r="D12" i="11"/>
  <c r="C12" i="11"/>
  <c r="H10" i="11"/>
  <c r="G10" i="11"/>
  <c r="F10" i="11"/>
  <c r="E10" i="11"/>
  <c r="D10" i="11"/>
  <c r="C10" i="11"/>
  <c r="G8" i="11"/>
  <c r="H8" i="11"/>
  <c r="F8" i="11"/>
  <c r="D8" i="11"/>
  <c r="E8" i="11"/>
  <c r="C8" i="11"/>
  <c r="G6" i="11"/>
  <c r="H6" i="11"/>
  <c r="F6" i="11"/>
  <c r="E6" i="11"/>
  <c r="D6" i="11"/>
  <c r="C6" i="11"/>
  <c r="G4" i="11"/>
  <c r="G3" i="11" s="1"/>
  <c r="H4" i="11"/>
  <c r="H3" i="11" s="1"/>
  <c r="F4" i="11"/>
  <c r="F3" i="11" s="1"/>
  <c r="E4" i="11"/>
  <c r="E3" i="11" s="1"/>
  <c r="D4" i="11"/>
  <c r="D3" i="11" s="1"/>
  <c r="C4" i="11"/>
  <c r="C3" i="11" s="1"/>
  <c r="G14" i="10"/>
  <c r="H14" i="10"/>
  <c r="F14" i="10"/>
  <c r="E14" i="10"/>
  <c r="D14" i="10"/>
  <c r="C14" i="10"/>
  <c r="H12" i="10"/>
  <c r="G12" i="10"/>
  <c r="F12" i="10"/>
  <c r="E12" i="10"/>
  <c r="D12" i="10"/>
  <c r="C12" i="10"/>
  <c r="G10" i="10"/>
  <c r="H10" i="10"/>
  <c r="F10" i="10"/>
  <c r="E10" i="10"/>
  <c r="D10" i="10"/>
  <c r="C10" i="10"/>
  <c r="H8" i="10"/>
  <c r="G8" i="10"/>
  <c r="F8" i="10"/>
  <c r="E8" i="10"/>
  <c r="D8" i="10"/>
  <c r="C8" i="10"/>
  <c r="H6" i="10"/>
  <c r="G6" i="10"/>
  <c r="F6" i="10"/>
  <c r="E6" i="10"/>
  <c r="D6" i="10"/>
  <c r="C6" i="10"/>
  <c r="G4" i="10"/>
  <c r="G3" i="10" s="1"/>
  <c r="F4" i="10"/>
  <c r="F3" i="10" s="1"/>
  <c r="E4" i="10"/>
  <c r="E3" i="10" s="1"/>
  <c r="D4" i="10"/>
  <c r="D3" i="10" s="1"/>
  <c r="H4" i="10"/>
  <c r="H3" i="10" s="1"/>
  <c r="C4" i="10"/>
  <c r="C3" i="10" s="1"/>
  <c r="G14" i="9"/>
  <c r="H14" i="9"/>
  <c r="F14" i="9"/>
  <c r="E14" i="9"/>
  <c r="D14" i="9"/>
  <c r="C14" i="9"/>
  <c r="G12" i="9"/>
  <c r="H12" i="9"/>
  <c r="F12" i="9"/>
  <c r="D12" i="9"/>
  <c r="C12" i="9"/>
  <c r="E12" i="9"/>
  <c r="H10" i="9"/>
  <c r="G10" i="9"/>
  <c r="F10" i="9"/>
  <c r="E10" i="9"/>
  <c r="D10" i="9"/>
  <c r="C10" i="9"/>
  <c r="G8" i="9"/>
  <c r="H8" i="9"/>
  <c r="F8" i="9"/>
  <c r="E8" i="9"/>
  <c r="D8" i="9"/>
  <c r="C8" i="9"/>
  <c r="G6" i="9"/>
  <c r="H6" i="9"/>
  <c r="F6" i="9"/>
  <c r="E6" i="9"/>
  <c r="D6" i="9"/>
  <c r="C6" i="9"/>
  <c r="H4" i="9"/>
  <c r="H3" i="9" s="1"/>
  <c r="G4" i="9"/>
  <c r="G3" i="9" s="1"/>
  <c r="F4" i="9"/>
  <c r="F3" i="9" s="1"/>
  <c r="E4" i="9"/>
  <c r="E3" i="9" s="1"/>
  <c r="D4" i="9"/>
  <c r="D3" i="9" s="1"/>
  <c r="C4" i="9"/>
  <c r="C3" i="9" s="1"/>
  <c r="G12" i="8"/>
  <c r="H12" i="8"/>
  <c r="F12" i="8"/>
  <c r="E12" i="8"/>
  <c r="D12" i="8"/>
  <c r="C12" i="8"/>
  <c r="G10" i="8"/>
  <c r="H10" i="8"/>
  <c r="F10" i="8"/>
  <c r="E10" i="8"/>
  <c r="D10" i="8"/>
  <c r="C10" i="8"/>
  <c r="H8" i="8"/>
  <c r="G8" i="8"/>
  <c r="F8" i="8"/>
  <c r="E8" i="8"/>
  <c r="D8" i="8"/>
  <c r="C8" i="8"/>
  <c r="H6" i="8"/>
  <c r="G6" i="8"/>
  <c r="F6" i="8"/>
  <c r="E6" i="8"/>
  <c r="D6" i="8"/>
  <c r="C6" i="8"/>
  <c r="G4" i="8"/>
  <c r="G3" i="8" s="1"/>
  <c r="H4" i="8"/>
  <c r="H3" i="8" s="1"/>
  <c r="F4" i="8"/>
  <c r="F3" i="8" s="1"/>
  <c r="E4" i="8"/>
  <c r="E3" i="8" s="1"/>
  <c r="D4" i="8"/>
  <c r="D3" i="8" s="1"/>
  <c r="C4" i="8"/>
  <c r="C3" i="8" s="1"/>
  <c r="G14" i="7"/>
  <c r="H14" i="7"/>
  <c r="F14" i="7"/>
  <c r="E14" i="7"/>
  <c r="D14" i="7"/>
  <c r="C14" i="7"/>
  <c r="H12" i="7"/>
  <c r="G12" i="7"/>
  <c r="F12" i="7"/>
  <c r="E12" i="7"/>
  <c r="D12" i="7"/>
  <c r="C12" i="7"/>
  <c r="G10" i="7"/>
  <c r="H10" i="7"/>
  <c r="F10" i="7"/>
  <c r="E10" i="7"/>
  <c r="D10" i="7"/>
  <c r="C10" i="7"/>
  <c r="G8" i="7"/>
  <c r="H8" i="7"/>
  <c r="F8" i="7"/>
  <c r="E8" i="7"/>
  <c r="D8" i="7"/>
  <c r="C8" i="7"/>
  <c r="G6" i="7"/>
  <c r="H6" i="7"/>
  <c r="F6" i="7"/>
  <c r="E6" i="7"/>
  <c r="D6" i="7"/>
  <c r="C6" i="7"/>
  <c r="G4" i="7"/>
  <c r="G3" i="7" s="1"/>
  <c r="H4" i="7"/>
  <c r="H3" i="7" s="1"/>
  <c r="F4" i="7"/>
  <c r="F3" i="7" s="1"/>
  <c r="E4" i="7"/>
  <c r="E3" i="7" s="1"/>
  <c r="D4" i="7"/>
  <c r="D3" i="7" s="1"/>
  <c r="C4" i="7"/>
  <c r="C3" i="7" s="1"/>
  <c r="G14" i="6"/>
  <c r="H14" i="6"/>
  <c r="F14" i="6"/>
  <c r="E14" i="6"/>
  <c r="D14" i="6"/>
  <c r="C14" i="6"/>
  <c r="G12" i="6"/>
  <c r="H12" i="6"/>
  <c r="F12" i="6"/>
  <c r="E12" i="6"/>
  <c r="D12" i="6"/>
  <c r="C12" i="6"/>
  <c r="H10" i="6"/>
  <c r="G10" i="6"/>
  <c r="E10" i="6"/>
  <c r="D10" i="6"/>
  <c r="C10" i="6"/>
  <c r="F10" i="6"/>
  <c r="H8" i="6"/>
  <c r="G8" i="6"/>
  <c r="E8" i="6"/>
  <c r="D8" i="6"/>
  <c r="C8" i="6"/>
  <c r="F8" i="6"/>
  <c r="G6" i="6"/>
  <c r="H6" i="6"/>
  <c r="F6" i="6"/>
  <c r="E6" i="6"/>
  <c r="D6" i="6"/>
  <c r="C6" i="6"/>
  <c r="G4" i="6"/>
  <c r="G3" i="6" s="1"/>
  <c r="H4" i="6"/>
  <c r="H3" i="6" s="1"/>
  <c r="F4" i="6"/>
  <c r="F3" i="6" s="1"/>
  <c r="E4" i="6"/>
  <c r="E3" i="6" s="1"/>
  <c r="D4" i="6"/>
  <c r="D3" i="6" s="1"/>
  <c r="C4" i="6"/>
  <c r="C3" i="6" s="1"/>
  <c r="H14" i="5"/>
  <c r="F14" i="5"/>
  <c r="E14" i="5"/>
  <c r="G14" i="5"/>
  <c r="D14" i="5"/>
  <c r="C14" i="5"/>
  <c r="H12" i="5"/>
  <c r="G12" i="5"/>
  <c r="F12" i="5"/>
  <c r="E12" i="5"/>
  <c r="D12" i="5"/>
  <c r="C12" i="5"/>
  <c r="G10" i="5"/>
  <c r="H10" i="5"/>
  <c r="F10" i="5"/>
  <c r="E10" i="5"/>
  <c r="D10" i="5"/>
  <c r="C10" i="5"/>
  <c r="G8" i="5"/>
  <c r="H8" i="5"/>
  <c r="F8" i="5"/>
  <c r="E8" i="5"/>
  <c r="D8" i="5"/>
  <c r="C8" i="5"/>
  <c r="G6" i="5"/>
  <c r="H6" i="5"/>
  <c r="F6" i="5"/>
  <c r="E6" i="5"/>
  <c r="D6" i="5"/>
  <c r="C6" i="5"/>
  <c r="G4" i="5"/>
  <c r="G3" i="5" s="1"/>
  <c r="H4" i="5"/>
  <c r="H3" i="5" s="1"/>
  <c r="F4" i="5"/>
  <c r="F3" i="5" s="1"/>
  <c r="E4" i="5"/>
  <c r="E3" i="5" s="1"/>
  <c r="D4" i="5"/>
  <c r="D3" i="5" s="1"/>
  <c r="C4" i="5"/>
  <c r="C3" i="5" s="1"/>
  <c r="G14" i="4"/>
  <c r="H14" i="4"/>
  <c r="F14" i="4"/>
  <c r="E14" i="4"/>
  <c r="D14" i="4"/>
  <c r="C14" i="4"/>
  <c r="G12" i="4"/>
  <c r="F12" i="4"/>
  <c r="E12" i="4"/>
  <c r="D12" i="4"/>
  <c r="H12" i="4"/>
  <c r="C12" i="4"/>
  <c r="G10" i="4"/>
  <c r="H10" i="4"/>
  <c r="F10" i="4"/>
  <c r="E10" i="4"/>
  <c r="D10" i="4"/>
  <c r="C10" i="4"/>
  <c r="H8" i="4"/>
  <c r="F8" i="4"/>
  <c r="E8" i="4"/>
  <c r="D8" i="4"/>
  <c r="C8" i="4"/>
  <c r="G8" i="4"/>
  <c r="H6" i="4"/>
  <c r="G6" i="4"/>
  <c r="F6" i="4"/>
  <c r="E6" i="4"/>
  <c r="D6" i="4"/>
  <c r="C6" i="4"/>
  <c r="H4" i="4"/>
  <c r="H3" i="4" s="1"/>
  <c r="G4" i="4"/>
  <c r="G3" i="4" s="1"/>
  <c r="F4" i="4"/>
  <c r="F3" i="4" s="1"/>
  <c r="B4" i="4"/>
  <c r="E4" i="4"/>
  <c r="E3" i="4" s="1"/>
  <c r="D4" i="4"/>
  <c r="D3" i="4" s="1"/>
  <c r="H14" i="3"/>
  <c r="G14" i="3"/>
  <c r="F14" i="3"/>
  <c r="E14" i="3"/>
  <c r="D14" i="3"/>
  <c r="C14" i="3"/>
  <c r="G12" i="3"/>
  <c r="F12" i="3"/>
  <c r="E12" i="3"/>
  <c r="D12" i="3"/>
  <c r="H12" i="3"/>
  <c r="C12" i="3"/>
  <c r="F10" i="3"/>
  <c r="E10" i="3"/>
  <c r="D10" i="3"/>
  <c r="G10" i="3"/>
  <c r="C10" i="3"/>
  <c r="H10" i="3"/>
  <c r="G8" i="3"/>
  <c r="D8" i="3"/>
  <c r="H8" i="3"/>
  <c r="F8" i="3"/>
  <c r="E8" i="3"/>
  <c r="C8" i="3"/>
  <c r="D6" i="3"/>
  <c r="H6" i="3"/>
  <c r="G6" i="3"/>
  <c r="C6" i="3"/>
  <c r="F6" i="3"/>
  <c r="E6" i="3"/>
  <c r="G4" i="3"/>
  <c r="G3" i="3" s="1"/>
  <c r="H4" i="3"/>
  <c r="H3" i="3" s="1"/>
  <c r="F4" i="3"/>
  <c r="F3" i="3" s="1"/>
  <c r="E4" i="3"/>
  <c r="E3" i="3" s="1"/>
  <c r="D4" i="3"/>
  <c r="D3" i="3" s="1"/>
  <c r="C4" i="3"/>
  <c r="C3" i="3" s="1"/>
  <c r="G16" i="2"/>
  <c r="F16" i="2"/>
  <c r="H16" i="2"/>
  <c r="E16" i="2"/>
  <c r="D16" i="2"/>
  <c r="C16" i="2"/>
  <c r="G14" i="2"/>
  <c r="H14" i="2"/>
  <c r="F14" i="2"/>
  <c r="E14" i="2"/>
  <c r="D14" i="2"/>
  <c r="C14" i="2"/>
  <c r="G12" i="2"/>
  <c r="D12" i="2"/>
  <c r="H12" i="2"/>
  <c r="F12" i="2"/>
  <c r="E12" i="2"/>
  <c r="C12" i="2"/>
  <c r="H10" i="2"/>
  <c r="E10" i="2"/>
  <c r="G10" i="2"/>
  <c r="F10" i="2"/>
  <c r="D10" i="2"/>
  <c r="C10" i="2"/>
  <c r="H8" i="2"/>
  <c r="D8" i="2"/>
  <c r="C8" i="2"/>
  <c r="B8" i="2"/>
  <c r="G8" i="2"/>
  <c r="E8" i="2"/>
  <c r="E6" i="2"/>
  <c r="E5" i="2" s="1"/>
  <c r="B6" i="2"/>
  <c r="H6" i="2"/>
  <c r="H5" i="2" s="1"/>
  <c r="G6" i="2"/>
  <c r="G5" i="2" s="1"/>
  <c r="D6" i="2"/>
  <c r="D5" i="2" s="1"/>
  <c r="C6" i="2"/>
  <c r="C5" i="2" s="1"/>
  <c r="B3" i="13" l="1"/>
  <c r="B3" i="12"/>
  <c r="B3" i="11"/>
  <c r="B3" i="10"/>
  <c r="B3" i="9"/>
  <c r="B3" i="8"/>
  <c r="B3" i="7"/>
  <c r="B3" i="6"/>
  <c r="B3" i="5"/>
  <c r="B3" i="4"/>
  <c r="B3" i="3"/>
  <c r="B5" i="2"/>
  <c r="B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mujahid</author>
  </authors>
  <commentList>
    <comment ref="G13" authorId="0" shapeId="0" xr:uid="{8BA8ED0F-EFFE-934B-BB6A-26950A144773}">
      <text>
        <r>
          <rPr>
            <b/>
            <sz val="10"/>
            <color rgb="FF000000"/>
            <rFont val="Tahoma"/>
            <family val="2"/>
          </rPr>
          <t xml:space="preserve">mujahid:
</t>
        </r>
        <r>
          <rPr>
            <sz val="10"/>
            <color rgb="FF000000"/>
            <rFont val="Tahoma"/>
            <family val="2"/>
          </rPr>
          <t xml:space="preserve">coup 2 pouce x Bloom :9-10.30
2 sisters: 10.30-11
Solar: 12-13.30
Better S:14-15.30
</t>
        </r>
      </text>
    </comment>
  </commentList>
</comments>
</file>

<file path=xl/sharedStrings.xml><?xml version="1.0" encoding="utf-8"?>
<sst xmlns="http://schemas.openxmlformats.org/spreadsheetml/2006/main" count="65" uniqueCount="65">
  <si>
    <t>MAY</t>
  </si>
  <si>
    <t>FEBRUARY</t>
  </si>
  <si>
    <t>JANUARY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</si>
  <si>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</si>
  <si>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</si>
  <si>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</si>
  <si>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</si>
  <si>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</si>
  <si>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</si>
  <si>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</si>
  <si>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</si>
  <si>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</si>
  <si>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Enter year:</t>
  </si>
  <si>
    <t>Week start:</t>
  </si>
  <si>
    <t>M</t>
  </si>
  <si>
    <t>Start the calendar on either a Sunday or a Monday by selecting S or M in the Week Start cell, E2</t>
  </si>
  <si>
    <t>FEBRUARY -&gt;</t>
  </si>
  <si>
    <t>MARCH -&gt;</t>
  </si>
  <si>
    <t>&lt;- JANUARY</t>
  </si>
  <si>
    <t>APRIL -&gt;</t>
  </si>
  <si>
    <t>&lt;- FEBRUARY</t>
  </si>
  <si>
    <t>&lt;- NOVEMBER</t>
  </si>
  <si>
    <t>&lt;- OCTOBER</t>
  </si>
  <si>
    <t>DECEMBER -&gt;</t>
  </si>
  <si>
    <t>&lt;- MARCH</t>
  </si>
  <si>
    <t>MAY -&gt;</t>
  </si>
  <si>
    <t>&lt;- APRIL</t>
  </si>
  <si>
    <t>JUNE -&gt;</t>
  </si>
  <si>
    <t>&lt;- MAY</t>
  </si>
  <si>
    <t>JULY -&gt;</t>
  </si>
  <si>
    <t>&lt;-JUNE</t>
  </si>
  <si>
    <t>AUGUST -&gt;</t>
  </si>
  <si>
    <t>&lt;- JULY</t>
  </si>
  <si>
    <t>SEPTEMBER -&gt;</t>
  </si>
  <si>
    <t>&lt;- AUGUST</t>
  </si>
  <si>
    <t>OCTOBER -&gt;</t>
  </si>
  <si>
    <t>&lt;- SEPTEMBER</t>
  </si>
  <si>
    <t>NOVEMBER -&gt;</t>
  </si>
  <si>
    <t>JANUARY -&gt;</t>
  </si>
  <si>
    <t>UP 1 year anniversary</t>
  </si>
  <si>
    <t>UP25 Award &amp; Recognition Ceremony</t>
  </si>
  <si>
    <t>Pre-incub application open</t>
  </si>
  <si>
    <t>Pre-incub application close</t>
  </si>
  <si>
    <t>Interview of candidates</t>
  </si>
  <si>
    <t>Cohort 2 UP26 announced</t>
  </si>
  <si>
    <t>Week 1</t>
  </si>
  <si>
    <t>Week 2</t>
  </si>
  <si>
    <t>Week 3</t>
  </si>
  <si>
    <t>Week 4</t>
  </si>
  <si>
    <t>Week 5</t>
  </si>
  <si>
    <t>Week 6</t>
  </si>
  <si>
    <t>Week 7</t>
  </si>
  <si>
    <t>Pirch Day - UP Cohort 2</t>
  </si>
  <si>
    <t>Pitch preparation week</t>
  </si>
  <si>
    <t>Ramadaan</t>
  </si>
  <si>
    <t>EID</t>
  </si>
  <si>
    <t>Call with selected incubation participants</t>
  </si>
  <si>
    <t>Strategic Advisory Council 1.5 hour</t>
  </si>
  <si>
    <t>Strategic Advisory Council 2</t>
  </si>
  <si>
    <t>Strategic Advisory Council 3</t>
  </si>
  <si>
    <t>Strategic Advisory Council</t>
  </si>
  <si>
    <t>Panel Discussion - Beyond the Bun</t>
  </si>
  <si>
    <t>Hackathon- Full Day</t>
  </si>
  <si>
    <t>Panel Discussion -Blue Horizon</t>
  </si>
  <si>
    <t>UP demo and project showcase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</si>
</sst>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2" x14ac:knownFonts="1">
    <font>
      <b/>
      <sz val="11"/>
      <color theme="1" tint="0.34998626667073579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b/>
      <sz val="34"/>
      <color theme="1"/>
      <name val="Trebuchet MS"/>
      <family val="2"/>
      <scheme val="major"/>
    </font>
    <font>
      <b/>
      <sz val="11"/>
      <color theme="2" tint="-0.749961851863155"/>
      <name val="Trebuchet MS"/>
      <family val="2"/>
      <scheme val="minor"/>
    </font>
    <font>
      <b/>
      <u/>
      <sz val="11"/>
      <color theme="1"/>
      <name val="Trebuchet MS"/>
      <family val="2"/>
      <scheme val="minor"/>
    </font>
    <font>
      <b/>
      <sz val="11"/>
      <color theme="1" tint="0.34998626667073579"/>
      <name val="Trebuchet MS"/>
      <family val="2"/>
      <scheme val="minor"/>
    </font>
    <font>
      <i/>
      <sz val="11"/>
      <color theme="1" tint="0.34998626667073579"/>
      <name val="Trebuchet MS"/>
      <family val="2"/>
      <scheme val="minor"/>
    </font>
    <font>
      <b/>
      <sz val="22"/>
      <color theme="1" tint="0.34998626667073579"/>
      <name val="Trebuchet MS"/>
      <family val="2"/>
      <scheme val="major"/>
    </font>
    <font>
      <b/>
      <u/>
      <sz val="11"/>
      <color theme="8" tint="-0.499984740745262"/>
      <name val="Trebuchet MS"/>
      <family val="2"/>
      <scheme val="minor"/>
    </font>
    <font>
      <b/>
      <sz val="10"/>
      <color rgb="FF3E4F5F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ck">
        <color theme="4"/>
      </left>
      <right style="thick">
        <color theme="4"/>
      </right>
      <top/>
      <bottom/>
      <diagonal/>
    </border>
  </borders>
  <cellStyleXfs count="12">
    <xf numFmtId="0" fontId="0" fillId="0" borderId="0">
      <alignment horizontal="left" vertical="top" wrapText="1" indent="1"/>
    </xf>
    <xf numFmtId="0" fontId="2" fillId="0" borderId="0" applyNumberFormat="0" applyFill="0" applyBorder="0" applyProtection="0">
      <alignment horizontal="left" vertical="top"/>
    </xf>
    <xf numFmtId="0" fontId="1" fillId="0" borderId="0" applyNumberFormat="0" applyFill="0" applyProtection="0">
      <alignment vertical="top"/>
    </xf>
    <xf numFmtId="0" fontId="3" fillId="0" borderId="0" applyNumberFormat="0" applyFill="0" applyAlignment="0" applyProtection="0"/>
    <xf numFmtId="164" fontId="1" fillId="0" borderId="1" applyFill="0" applyProtection="0">
      <alignment horizontal="left" indent="1"/>
    </xf>
    <xf numFmtId="0" fontId="4" fillId="0" borderId="0" applyNumberFormat="0" applyFill="0" applyProtection="0">
      <alignment horizontal="center" vertical="top"/>
    </xf>
    <xf numFmtId="0" fontId="3" fillId="0" borderId="0" applyNumberFormat="0" applyFill="0" applyBorder="0" applyAlignment="0" applyProtection="0"/>
    <xf numFmtId="0" fontId="7" fillId="0" borderId="0" applyNumberFormat="0" applyFill="0" applyBorder="0" applyProtection="0">
      <alignment horizontal="left"/>
    </xf>
    <xf numFmtId="0" fontId="8" fillId="0" borderId="0" applyNumberFormat="0" applyFill="0" applyBorder="0" applyAlignment="0" applyProtection="0">
      <alignment horizontal="left" vertical="top" wrapText="1" indent="1"/>
    </xf>
    <xf numFmtId="0" fontId="6" fillId="0" borderId="0" applyNumberFormat="0" applyFill="0" applyBorder="0" applyAlignment="0" applyProtection="0"/>
    <xf numFmtId="0" fontId="5" fillId="0" borderId="0">
      <alignment horizontal="left" vertical="top"/>
    </xf>
    <xf numFmtId="0" fontId="5" fillId="0" borderId="1">
      <alignment horizontal="left" vertical="top" wrapText="1" indent="1"/>
    </xf>
  </cellStyleXfs>
  <cellXfs count="18">
    <xf numFmtId="0" fontId="0" fillId="0" borderId="0" xfId="0">
      <alignment horizontal="left" vertical="top" wrapText="1" indent="1"/>
    </xf>
    <xf numFmtId="0" fontId="3" fillId="0" borderId="0" xfId="3" applyAlignment="1">
      <alignment horizontal="left" vertical="top"/>
    </xf>
    <xf numFmtId="0" fontId="0" fillId="0" borderId="1" xfId="0" applyBorder="1">
      <alignment horizontal="left" vertical="top" wrapText="1" indent="1"/>
    </xf>
    <xf numFmtId="0" fontId="2" fillId="0" borderId="0" xfId="1" applyAlignment="1">
      <alignment horizontal="center" vertical="top"/>
    </xf>
    <xf numFmtId="164" fontId="1" fillId="0" borderId="1" xfId="4">
      <alignment horizontal="left" indent="1"/>
    </xf>
    <xf numFmtId="0" fontId="1" fillId="0" borderId="0" xfId="2">
      <alignment vertical="top"/>
    </xf>
    <xf numFmtId="0" fontId="4" fillId="0" borderId="0" xfId="5">
      <alignment horizontal="center" vertical="top"/>
    </xf>
    <xf numFmtId="0" fontId="7" fillId="0" borderId="0" xfId="7">
      <alignment horizontal="left"/>
    </xf>
    <xf numFmtId="164" fontId="2" fillId="0" borderId="0" xfId="1" applyNumberFormat="1">
      <alignment horizontal="left" vertical="top"/>
    </xf>
    <xf numFmtId="0" fontId="6" fillId="0" borderId="0" xfId="9" applyAlignment="1">
      <alignment horizontal="left" vertical="top"/>
    </xf>
    <xf numFmtId="0" fontId="5" fillId="0" borderId="0" xfId="10">
      <alignment horizontal="left" vertical="top"/>
    </xf>
    <xf numFmtId="0" fontId="5" fillId="0" borderId="1" xfId="11">
      <alignment horizontal="left" vertical="top" wrapText="1" indent="1"/>
    </xf>
    <xf numFmtId="0" fontId="9" fillId="0" borderId="0" xfId="0" applyFont="1">
      <alignment horizontal="left" vertical="top" wrapText="1" indent="1"/>
    </xf>
    <xf numFmtId="0" fontId="5" fillId="2" borderId="1" xfId="11" applyFill="1">
      <alignment horizontal="left" vertical="top" wrapText="1" indent="1"/>
    </xf>
    <xf numFmtId="0" fontId="5" fillId="3" borderId="1" xfId="11" applyFill="1">
      <alignment horizontal="left" vertical="top" wrapText="1" indent="1"/>
    </xf>
    <xf numFmtId="0" fontId="5" fillId="4" borderId="1" xfId="11" applyFill="1">
      <alignment horizontal="left" vertical="top" wrapText="1" indent="1"/>
    </xf>
    <xf numFmtId="0" fontId="5" fillId="5" borderId="1" xfId="11" applyFill="1">
      <alignment horizontal="left" vertical="top" wrapText="1" indent="1"/>
    </xf>
    <xf numFmtId="0" fontId="5" fillId="6" borderId="1" xfId="11" applyFill="1">
      <alignment horizontal="left" vertical="top" wrapText="1" indent="1"/>
    </xf>
  </cellXfs>
  <cellStyles count="12">
    <cellStyle name="Calendar details" xfId="11" xr:uid="{00000000-0005-0000-0000-000000000000}"/>
    <cellStyle name="Entry Fields" xfId="10" xr:uid="{00000000-0005-0000-0000-000001000000}"/>
    <cellStyle name="Explanatory Text" xfId="9" builtinId="53" customBuiltin="1"/>
    <cellStyle name="Followed Hyperlink" xfId="8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6" builtinId="19" customBuiltin="1"/>
    <cellStyle name="Hyperlink" xfId="5" builtinId="8" customBuiltin="1"/>
    <cellStyle name="Normal" xfId="0" builtinId="0" customBuiltin="1"/>
    <cellStyle name="Title" xfId="1" builtinId="15" customBuiltin="1"/>
    <cellStyle name="Year" xfId="7" xr:uid="{00000000-0005-0000-0000-00000B000000}"/>
  </cellStyles>
  <dxfs count="24"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2-month gold stripes">
      <a:dk1>
        <a:srgbClr val="000000"/>
      </a:dk1>
      <a:lt1>
        <a:srgbClr val="FFFFFF"/>
      </a:lt1>
      <a:dk2>
        <a:srgbClr val="1F1D00"/>
      </a:dk2>
      <a:lt2>
        <a:srgbClr val="FEFEFE"/>
      </a:lt2>
      <a:accent1>
        <a:srgbClr val="F2E900"/>
      </a:accent1>
      <a:accent2>
        <a:srgbClr val="E685C9"/>
      </a:accent2>
      <a:accent3>
        <a:srgbClr val="70D680"/>
      </a:accent3>
      <a:accent4>
        <a:srgbClr val="FF6963"/>
      </a:accent4>
      <a:accent5>
        <a:srgbClr val="61C6C5"/>
      </a:accent5>
      <a:accent6>
        <a:srgbClr val="F8A11D"/>
      </a:accent6>
      <a:hlink>
        <a:srgbClr val="61C6C5"/>
      </a:hlink>
      <a:folHlink>
        <a:srgbClr val="BFBFBF"/>
      </a:folHlink>
    </a:clrScheme>
    <a:fontScheme name="1-month gold stripes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0"/>
    <pageSetUpPr fitToPage="1"/>
  </sheetPr>
  <dimension ref="B1:H17"/>
  <sheetViews>
    <sheetView showGridLines="0" zoomScaleNormal="100" workbookViewId="0">
      <selection activeCell="D3" sqref="D3"/>
    </sheetView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15" customHeight="1" x14ac:dyDescent="0.15">
      <c r="B1" s="9" t="s">
        <v>15</v>
      </c>
      <c r="C1" s="1"/>
      <c r="D1" s="1"/>
      <c r="E1" s="1"/>
      <c r="F1" s="1"/>
      <c r="G1" s="1"/>
      <c r="H1" s="1"/>
    </row>
    <row r="2" spans="2:8" ht="36" customHeight="1" x14ac:dyDescent="0.15">
      <c r="B2" s="10" t="s">
        <v>12</v>
      </c>
      <c r="C2" s="10">
        <f ca="1">YEAR(TODAY())</f>
        <v>2026</v>
      </c>
      <c r="D2" s="10" t="s">
        <v>13</v>
      </c>
      <c r="E2" s="10" t="s">
        <v>14</v>
      </c>
    </row>
    <row r="3" spans="2:8" ht="30" customHeight="1" x14ac:dyDescent="0.3">
      <c r="B3" s="7">
        <f ca="1">CalendarYear</f>
        <v>2026</v>
      </c>
      <c r="D3" s="6" t="s">
        <v>16</v>
      </c>
      <c r="E3" s="1"/>
      <c r="G3" s="6"/>
      <c r="H3" s="6"/>
    </row>
    <row r="4" spans="2:8" ht="45" customHeight="1" x14ac:dyDescent="0.15">
      <c r="B4" s="8" t="s">
        <v>2</v>
      </c>
      <c r="C4" s="8"/>
      <c r="D4" s="8"/>
      <c r="E4" s="8"/>
      <c r="F4" s="3"/>
    </row>
    <row r="5" spans="2:8" ht="18.75" customHeight="1" x14ac:dyDescent="0.15">
      <c r="B5" s="5" t="str">
        <f>WeekStart</f>
        <v>M</v>
      </c>
      <c r="C5" s="5" t="str">
        <f t="shared" ref="C5:H5" ca="1" si="0">LEFT(TEXT(C6,"ddd"),1)</f>
        <v>T</v>
      </c>
      <c r="D5" s="5" t="str">
        <f t="shared" ca="1" si="0"/>
        <v>W</v>
      </c>
      <c r="E5" s="5" t="str">
        <f t="shared" ca="1" si="0"/>
        <v>T</v>
      </c>
      <c r="F5" s="5" t="str">
        <f t="shared" ca="1" si="0"/>
        <v>F</v>
      </c>
      <c r="G5" s="5" t="str">
        <f t="shared" ca="1" si="0"/>
        <v>S</v>
      </c>
      <c r="H5" s="5" t="str">
        <f t="shared" ca="1" si="0"/>
        <v>S</v>
      </c>
    </row>
    <row r="6" spans="2:8" ht="16.5" customHeight="1" x14ac:dyDescent="0.15">
      <c r="B6" s="4">
        <f t="array" aca="1" ref="B6:H6" ca="1">DaysAndWeeks+DATE(CalendarYear,1,1)-WEEKDAY(DATE(CalendarYear,1,1),(WeekStart="M")+1)+1</f>
        <v>46020</v>
      </c>
      <c r="C6" s="4">
        <f ca="1"/>
        <v>46021</v>
      </c>
      <c r="D6" s="4">
        <f ca="1"/>
        <v>46022</v>
      </c>
      <c r="E6" s="4">
        <f ca="1"/>
        <v>46023</v>
      </c>
      <c r="F6" s="4">
        <f ca="1"/>
        <v>46024</v>
      </c>
      <c r="G6" s="4">
        <f ca="1"/>
        <v>46025</v>
      </c>
      <c r="H6" s="4">
        <f ca="1"/>
        <v>46026</v>
      </c>
    </row>
    <row r="7" spans="2:8" ht="39.75" customHeight="1" x14ac:dyDescent="0.15">
      <c r="B7" s="11"/>
      <c r="C7" s="11"/>
      <c r="D7" s="11"/>
      <c r="E7" s="11"/>
      <c r="F7" s="11"/>
      <c r="G7" s="11"/>
      <c r="H7" s="11"/>
    </row>
    <row r="8" spans="2:8" ht="15" customHeight="1" x14ac:dyDescent="0.15">
      <c r="B8" s="4">
        <f t="array" aca="1" ref="B8:H8" ca="1">DaysAndWeeks+DATE(CalendarYear,1,1)-WEEKDAY(DATE(CalendarYear,1,1),(WeekStart="M")+1)+8</f>
        <v>46027</v>
      </c>
      <c r="C8" s="4">
        <f ca="1"/>
        <v>46028</v>
      </c>
      <c r="D8" s="4">
        <f ca="1"/>
        <v>46029</v>
      </c>
      <c r="E8" s="4">
        <f ca="1"/>
        <v>46030</v>
      </c>
      <c r="F8" s="4">
        <f ca="1"/>
        <v>46031</v>
      </c>
      <c r="G8" s="4">
        <f ca="1"/>
        <v>46032</v>
      </c>
      <c r="H8" s="4">
        <f ca="1"/>
        <v>46033</v>
      </c>
    </row>
    <row r="9" spans="2:8" ht="39.75" customHeight="1" x14ac:dyDescent="0.15">
      <c r="B9" s="11"/>
      <c r="C9" s="11"/>
      <c r="D9" s="11"/>
      <c r="E9" s="11"/>
      <c r="F9" s="11"/>
      <c r="G9" s="11"/>
      <c r="H9" s="11"/>
    </row>
    <row r="10" spans="2:8" ht="15" customHeight="1" x14ac:dyDescent="0.15">
      <c r="B10" s="4">
        <f t="array" aca="1" ref="B10:H10" ca="1">DaysAndWeeks+DATE(CalendarYear,1,1)-WEEKDAY(DATE(CalendarYear,1,1),(WeekStart="M")+1)+15</f>
        <v>46034</v>
      </c>
      <c r="C10" s="4">
        <f ca="1"/>
        <v>46035</v>
      </c>
      <c r="D10" s="4">
        <f ca="1"/>
        <v>46036</v>
      </c>
      <c r="E10" s="4">
        <f ca="1"/>
        <v>46037</v>
      </c>
      <c r="F10" s="4">
        <f ca="1"/>
        <v>46038</v>
      </c>
      <c r="G10" s="4">
        <f ca="1"/>
        <v>46039</v>
      </c>
      <c r="H10" s="4">
        <f ca="1"/>
        <v>46040</v>
      </c>
    </row>
    <row r="11" spans="2:8" ht="39.75" customHeight="1" x14ac:dyDescent="0.15">
      <c r="B11" s="11"/>
      <c r="C11" s="11"/>
      <c r="D11" s="11"/>
      <c r="E11" s="11"/>
      <c r="F11" s="11"/>
      <c r="G11" s="11"/>
      <c r="H11" s="11"/>
    </row>
    <row r="12" spans="2:8" ht="15" customHeight="1" x14ac:dyDescent="0.15">
      <c r="B12" s="4">
        <f t="array" aca="1" ref="B12:H12" ca="1">DaysAndWeeks+DATE(CalendarYear,1,1)-WEEKDAY(DATE(CalendarYear,1,1),(WeekStart="M")+1)+22</f>
        <v>46041</v>
      </c>
      <c r="C12" s="4">
        <f ca="1"/>
        <v>46042</v>
      </c>
      <c r="D12" s="4">
        <f ca="1"/>
        <v>46043</v>
      </c>
      <c r="E12" s="4">
        <f ca="1"/>
        <v>46044</v>
      </c>
      <c r="F12" s="4">
        <f ca="1"/>
        <v>46045</v>
      </c>
      <c r="G12" s="4">
        <f ca="1"/>
        <v>46046</v>
      </c>
      <c r="H12" s="4">
        <f ca="1"/>
        <v>46047</v>
      </c>
    </row>
    <row r="13" spans="2:8" ht="40.5" customHeight="1" x14ac:dyDescent="0.15">
      <c r="B13" s="11"/>
      <c r="C13" s="11"/>
      <c r="D13" s="11"/>
      <c r="E13" s="11"/>
      <c r="F13" s="11"/>
      <c r="G13" s="11"/>
      <c r="H13" s="12" t="s">
        <v>40</v>
      </c>
    </row>
    <row r="14" spans="2:8" ht="15" customHeight="1" x14ac:dyDescent="0.15">
      <c r="B14" s="4">
        <f t="array" aca="1" ref="B14:H14" ca="1">DaysAndWeeks+DATE(CalendarYear,1,1)-WEEKDAY(DATE(CalendarYear,1,1),(WeekStart="M")+1)+29</f>
        <v>46048</v>
      </c>
      <c r="C14" s="4">
        <f ca="1"/>
        <v>46049</v>
      </c>
      <c r="D14" s="4">
        <f ca="1"/>
        <v>46050</v>
      </c>
      <c r="E14" s="4">
        <f ca="1"/>
        <v>46051</v>
      </c>
      <c r="F14" s="4">
        <f ca="1"/>
        <v>46052</v>
      </c>
      <c r="G14" s="4">
        <f ca="1"/>
        <v>46053</v>
      </c>
      <c r="H14" s="4">
        <f ca="1"/>
        <v>46054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  <row r="16" spans="2:8" ht="15" customHeight="1" x14ac:dyDescent="0.15">
      <c r="B16" s="4">
        <f t="array" aca="1" ref="B16:H16" ca="1">DaysAndWeeks+DATE(CalendarYear,1,1)-WEEKDAY(DATE(CalendarYear,1,1),(WeekStart="M")+1)+36</f>
        <v>46055</v>
      </c>
      <c r="C16" s="4">
        <f ca="1"/>
        <v>46056</v>
      </c>
      <c r="D16" s="4">
        <f ca="1"/>
        <v>46057</v>
      </c>
      <c r="E16" s="4">
        <f ca="1"/>
        <v>46058</v>
      </c>
      <c r="F16" s="4">
        <f ca="1"/>
        <v>46059</v>
      </c>
      <c r="G16" s="4">
        <f ca="1"/>
        <v>46060</v>
      </c>
      <c r="H16" s="4">
        <f ca="1"/>
        <v>46061</v>
      </c>
    </row>
    <row r="17" spans="2:8" ht="39.75" customHeight="1" x14ac:dyDescent="0.15">
      <c r="B17" s="11"/>
      <c r="C17" s="11"/>
      <c r="D17" s="11"/>
      <c r="E17" s="11"/>
      <c r="F17" s="11"/>
      <c r="G17" s="11"/>
      <c r="H17" s="11"/>
    </row>
  </sheetData>
  <dataConsolidate/>
  <conditionalFormatting sqref="B6:G6">
    <cfRule type="expression" dxfId="23" priority="4">
      <formula>DAY(B6)&gt;8</formula>
    </cfRule>
  </conditionalFormatting>
  <conditionalFormatting sqref="B14:H17">
    <cfRule type="expression" dxfId="22" priority="2">
      <formula>AND(DAY(B14)&gt;=1,DAY(B14)&lt;=15)</formula>
    </cfRule>
  </conditionalFormatting>
  <dataValidations xWindow="40" yWindow="320" count="1">
    <dataValidation type="list" allowBlank="1" showInputMessage="1" showErrorMessage="1" error="Select a day from the entries in the list. Select CANCEL, then ALT+DOWN ARROW to pick from the dropdown list" sqref="E2" xr:uid="{00000000-0002-0000-0000-000000000000}">
      <formula1>"M,S"</formula1>
    </dataValidation>
  </dataValidations>
  <hyperlinks>
    <hyperlink ref="D3" location="FEBRUARY!A1" tooltip="Navigation link to the next month" display="FEBRUARY" xr:uid="{00000000-0004-0000-0000-000000000000}"/>
  </hyperlinks>
  <printOptions horizontalCentered="1"/>
  <pageMargins left="0.5" right="0.5" top="0.4" bottom="0.4" header="0.3" footer="0.3"/>
  <pageSetup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0" tint="-4.9989318521683403E-2"/>
    <pageSetUpPr fitToPage="1"/>
  </sheetPr>
  <dimension ref="B1:H15"/>
  <sheetViews>
    <sheetView showGridLines="0" zoomScaleNormal="100" workbookViewId="0">
      <selection activeCell="D1" sqref="D1"/>
    </sheetView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30" customHeight="1" x14ac:dyDescent="0.3">
      <c r="B1" s="7">
        <f ca="1">CalendarYear</f>
        <v>2026</v>
      </c>
      <c r="C1" s="6" t="s">
        <v>18</v>
      </c>
      <c r="D1" s="6" t="s">
        <v>17</v>
      </c>
      <c r="E1" s="1"/>
    </row>
    <row r="2" spans="2:8" ht="45" customHeight="1" x14ac:dyDescent="0.15">
      <c r="B2" s="8" t="s">
        <v>1</v>
      </c>
      <c r="C2" s="8"/>
      <c r="D2" s="8"/>
      <c r="E2" s="8"/>
      <c r="F2" s="3"/>
    </row>
    <row r="3" spans="2:8" ht="18.75" customHeight="1" x14ac:dyDescent="0.15">
      <c r="B3" s="5" t="str">
        <f>WeekStart</f>
        <v>M</v>
      </c>
      <c r="C3" s="5" t="str">
        <f t="shared" ref="C3:H3" ca="1" si="0">LEFT(TEXT(C4,"ddd"),1)</f>
        <v>T</v>
      </c>
      <c r="D3" s="5" t="str">
        <f t="shared" ca="1" si="0"/>
        <v>W</v>
      </c>
      <c r="E3" s="5" t="str">
        <f t="shared" ca="1" si="0"/>
        <v>T</v>
      </c>
      <c r="F3" s="5" t="str">
        <f t="shared" ca="1" si="0"/>
        <v>F</v>
      </c>
      <c r="G3" s="5" t="str">
        <f t="shared" ca="1" si="0"/>
        <v>S</v>
      </c>
      <c r="H3" s="5" t="str">
        <f t="shared" ca="1" si="0"/>
        <v>S</v>
      </c>
    </row>
    <row r="4" spans="2:8" ht="16.5" customHeight="1" x14ac:dyDescent="0.15">
      <c r="B4" s="4">
        <f t="array" aca="1" ref="B4:H4" ca="1">DaysAndWeeks+DATE(CalendarYear,2,1)-WEEKDAY(DATE(CalendarYear,2,1),(WeekStart="M")+1)+1</f>
        <v>46048</v>
      </c>
      <c r="C4" s="4">
        <f ca="1"/>
        <v>46049</v>
      </c>
      <c r="D4" s="4">
        <f ca="1"/>
        <v>46050</v>
      </c>
      <c r="E4" s="4">
        <f ca="1"/>
        <v>46051</v>
      </c>
      <c r="F4" s="4">
        <f ca="1"/>
        <v>46052</v>
      </c>
      <c r="G4" s="4">
        <f ca="1"/>
        <v>46053</v>
      </c>
      <c r="H4" s="4">
        <f ca="1"/>
        <v>46054</v>
      </c>
    </row>
    <row r="5" spans="2:8" ht="39.75" customHeight="1" x14ac:dyDescent="0.15">
      <c r="B5" s="11"/>
      <c r="C5" s="11"/>
      <c r="D5" s="11"/>
      <c r="E5" s="11"/>
      <c r="F5" s="11"/>
      <c r="G5" s="11"/>
      <c r="H5" s="11"/>
    </row>
    <row r="6" spans="2:8" ht="15" customHeight="1" x14ac:dyDescent="0.15">
      <c r="B6" s="4">
        <f t="array" aca="1" ref="B6:H6" ca="1">DaysAndWeeks+DATE(CalendarYear,2,1)-WEEKDAY(DATE(CalendarYear,2,1),(WeekStart="M")+1)+8</f>
        <v>46055</v>
      </c>
      <c r="C6" s="4">
        <f ca="1"/>
        <v>46056</v>
      </c>
      <c r="D6" s="4">
        <f ca="1"/>
        <v>46057</v>
      </c>
      <c r="E6" s="4">
        <f ca="1"/>
        <v>46058</v>
      </c>
      <c r="F6" s="4">
        <f ca="1"/>
        <v>46059</v>
      </c>
      <c r="G6" s="4">
        <f ca="1"/>
        <v>46060</v>
      </c>
      <c r="H6" s="4">
        <f ca="1"/>
        <v>46061</v>
      </c>
    </row>
    <row r="7" spans="2:8" ht="39.75" customHeight="1" x14ac:dyDescent="0.15">
      <c r="B7" s="11"/>
      <c r="C7" s="11"/>
      <c r="D7" s="11"/>
      <c r="E7" s="11"/>
      <c r="F7" s="11"/>
      <c r="G7" s="11"/>
      <c r="H7" s="11"/>
    </row>
    <row r="8" spans="2:8" ht="15" customHeight="1" x14ac:dyDescent="0.15">
      <c r="B8" s="4">
        <f t="array" aca="1" ref="B8:H8" ca="1">DaysAndWeeks+DATE(CalendarYear,2,1)-WEEKDAY(DATE(CalendarYear,2,1),(WeekStart="M")+1)+15</f>
        <v>46062</v>
      </c>
      <c r="C8" s="4">
        <f ca="1"/>
        <v>46063</v>
      </c>
      <c r="D8" s="4">
        <f ca="1"/>
        <v>46064</v>
      </c>
      <c r="E8" s="4">
        <f ca="1"/>
        <v>46065</v>
      </c>
      <c r="F8" s="4">
        <f ca="1"/>
        <v>46066</v>
      </c>
      <c r="G8" s="4">
        <f ca="1"/>
        <v>46067</v>
      </c>
      <c r="H8" s="4">
        <f ca="1"/>
        <v>46068</v>
      </c>
    </row>
    <row r="9" spans="2:8" ht="39.75" customHeight="1" x14ac:dyDescent="0.15">
      <c r="B9" s="11"/>
      <c r="C9" s="11"/>
      <c r="D9" s="11"/>
      <c r="E9" s="11"/>
      <c r="F9" s="11"/>
      <c r="G9" s="11"/>
      <c r="H9" s="11"/>
    </row>
    <row r="10" spans="2:8" ht="15" customHeight="1" x14ac:dyDescent="0.15">
      <c r="B10" s="4">
        <f t="array" aca="1" ref="B10:H10" ca="1">DaysAndWeeks+DATE(CalendarYear,2,1)-WEEKDAY(DATE(CalendarYear,2,1),(WeekStart="M")+1)+22</f>
        <v>46069</v>
      </c>
      <c r="C10" s="4">
        <f ca="1"/>
        <v>46070</v>
      </c>
      <c r="D10" s="4">
        <f ca="1"/>
        <v>46071</v>
      </c>
      <c r="E10" s="4">
        <f ca="1"/>
        <v>46072</v>
      </c>
      <c r="F10" s="4">
        <f ca="1"/>
        <v>46073</v>
      </c>
      <c r="G10" s="4">
        <f ca="1"/>
        <v>46074</v>
      </c>
      <c r="H10" s="4">
        <f ca="1"/>
        <v>46075</v>
      </c>
    </row>
    <row r="11" spans="2:8" ht="40.5" customHeight="1" x14ac:dyDescent="0.15">
      <c r="B11" s="11" t="s">
        <v>56</v>
      </c>
      <c r="C11" s="11"/>
      <c r="D11" s="14" t="s">
        <v>54</v>
      </c>
      <c r="E11" s="11"/>
      <c r="F11" s="11"/>
      <c r="G11" s="11"/>
      <c r="H11" s="11"/>
    </row>
    <row r="12" spans="2:8" ht="15" customHeight="1" x14ac:dyDescent="0.15">
      <c r="B12" s="4">
        <f t="array" aca="1" ref="B12:H12" ca="1">DaysAndWeeks+DATE(CalendarYear,2,1)-WEEKDAY(DATE(CalendarYear,2,1),(WeekStart="M")+1)+29</f>
        <v>46076</v>
      </c>
      <c r="C12" s="4">
        <f ca="1"/>
        <v>46077</v>
      </c>
      <c r="D12" s="4">
        <f ca="1"/>
        <v>46078</v>
      </c>
      <c r="E12" s="4">
        <f ca="1"/>
        <v>46079</v>
      </c>
      <c r="F12" s="4">
        <f ca="1"/>
        <v>46080</v>
      </c>
      <c r="G12" s="4">
        <f ca="1"/>
        <v>46081</v>
      </c>
      <c r="H12" s="4">
        <f ca="1"/>
        <v>46082</v>
      </c>
    </row>
    <row r="13" spans="2:8" ht="39.75" customHeight="1" x14ac:dyDescent="0.15">
      <c r="B13" s="11"/>
      <c r="C13" s="11"/>
      <c r="D13" s="11"/>
      <c r="E13" s="11"/>
      <c r="F13" s="11"/>
      <c r="G13" s="11"/>
      <c r="H13" s="11"/>
    </row>
    <row r="14" spans="2:8" ht="15" customHeight="1" x14ac:dyDescent="0.15">
      <c r="B14" s="4">
        <f t="array" aca="1" ref="B14:H14" ca="1">DaysAndWeeks+DATE(CalendarYear,2,1)-WEEKDAY(DATE(CalendarYear,2,1),(WeekStart="M")+1)+36</f>
        <v>46083</v>
      </c>
      <c r="C14" s="4">
        <f ca="1"/>
        <v>46084</v>
      </c>
      <c r="D14" s="4">
        <f ca="1"/>
        <v>46085</v>
      </c>
      <c r="E14" s="4">
        <f ca="1"/>
        <v>46086</v>
      </c>
      <c r="F14" s="4">
        <f ca="1"/>
        <v>46087</v>
      </c>
      <c r="G14" s="4">
        <f ca="1"/>
        <v>46088</v>
      </c>
      <c r="H14" s="4">
        <f ca="1"/>
        <v>46089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</sheetData>
  <conditionalFormatting sqref="B4:G4">
    <cfRule type="expression" dxfId="21" priority="2">
      <formula>DAY(B4)&gt;8</formula>
    </cfRule>
  </conditionalFormatting>
  <conditionalFormatting sqref="B12:H15">
    <cfRule type="expression" dxfId="20" priority="1">
      <formula>AND(DAY(B12)&gt;=1,DAY(B12)&lt;=15)</formula>
    </cfRule>
  </conditionalFormatting>
  <hyperlinks>
    <hyperlink ref="D1" location="MARCH!A1" tooltip="Navigation link to the next month" display="MARCH" xr:uid="{00000000-0004-0000-0100-000000000000}"/>
    <hyperlink ref="C1" location="JANUARY!A1" tooltip="Navigation link to the previous month" display="JANUARY" xr:uid="{00000000-0004-0000-0100-000001000000}"/>
  </hyperlinks>
  <printOptions horizontalCentered="1"/>
  <pageMargins left="0.09" right="0.5" top="0.75" bottom="0.75" header="0.3" footer="0.3"/>
  <pageSetup fitToHeight="0" orientation="landscape" horizontalDpi="4294967293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0" tint="-0.14999847407452621"/>
    <pageSetUpPr fitToPage="1"/>
  </sheetPr>
  <dimension ref="B1:H15"/>
  <sheetViews>
    <sheetView showGridLines="0" zoomScaleNormal="100" workbookViewId="0">
      <selection activeCell="L11" sqref="L11"/>
    </sheetView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30" customHeight="1" x14ac:dyDescent="0.3">
      <c r="B1" s="7">
        <f ca="1">CalendarYear</f>
        <v>2026</v>
      </c>
      <c r="C1" s="6" t="s">
        <v>20</v>
      </c>
      <c r="D1" s="6" t="s">
        <v>19</v>
      </c>
      <c r="E1" s="1"/>
      <c r="F1" s="1"/>
      <c r="G1" s="1"/>
      <c r="H1" s="6"/>
    </row>
    <row r="2" spans="2:8" ht="45" customHeight="1" x14ac:dyDescent="0.15">
      <c r="B2" s="8" t="s">
        <v>3</v>
      </c>
      <c r="C2" s="8"/>
      <c r="D2" s="8"/>
      <c r="E2" s="8"/>
      <c r="F2" s="3"/>
    </row>
    <row r="3" spans="2:8" ht="18.75" customHeight="1" x14ac:dyDescent="0.15">
      <c r="B3" s="5" t="str">
        <f>WeekStart</f>
        <v>M</v>
      </c>
      <c r="C3" s="5" t="str">
        <f t="shared" ref="C3:H3" ca="1" si="0">LEFT(TEXT(C4,"ddd"),1)</f>
        <v>T</v>
      </c>
      <c r="D3" s="5" t="str">
        <f t="shared" ca="1" si="0"/>
        <v>W</v>
      </c>
      <c r="E3" s="5" t="str">
        <f t="shared" ca="1" si="0"/>
        <v>T</v>
      </c>
      <c r="F3" s="5" t="str">
        <f t="shared" ca="1" si="0"/>
        <v>F</v>
      </c>
      <c r="G3" s="5" t="str">
        <f t="shared" ca="1" si="0"/>
        <v>S</v>
      </c>
      <c r="H3" s="5" t="str">
        <f t="shared" ca="1" si="0"/>
        <v>S</v>
      </c>
    </row>
    <row r="4" spans="2:8" ht="16.5" customHeight="1" x14ac:dyDescent="0.15">
      <c r="B4" s="4">
        <f t="array" aca="1" ref="B4:H4" ca="1">DaysAndWeeks+DATE(CalendarYear,3,1)-WEEKDAY(DATE(CalendarYear,3,1),(WeekStart="M")+1)+1</f>
        <v>46076</v>
      </c>
      <c r="C4" s="4">
        <f ca="1"/>
        <v>46077</v>
      </c>
      <c r="D4" s="4">
        <f ca="1"/>
        <v>46078</v>
      </c>
      <c r="E4" s="4">
        <f ca="1"/>
        <v>46079</v>
      </c>
      <c r="F4" s="4">
        <f ca="1"/>
        <v>46080</v>
      </c>
      <c r="G4" s="4">
        <f ca="1"/>
        <v>46081</v>
      </c>
      <c r="H4" s="4">
        <f ca="1"/>
        <v>46082</v>
      </c>
    </row>
    <row r="5" spans="2:8" ht="39.75" customHeight="1" x14ac:dyDescent="0.15">
      <c r="B5" s="11"/>
      <c r="C5" s="11"/>
      <c r="D5" s="11"/>
      <c r="E5" s="11"/>
      <c r="F5" s="11"/>
      <c r="G5" s="11"/>
      <c r="H5" s="11"/>
    </row>
    <row r="6" spans="2:8" ht="15" customHeight="1" x14ac:dyDescent="0.15">
      <c r="B6" s="4">
        <f t="array" aca="1" ref="B6:H6" ca="1">DaysAndWeeks+DATE(CalendarYear,3,1)-WEEKDAY(DATE(CalendarYear,3,1),(WeekStart="M")+1)+8</f>
        <v>46083</v>
      </c>
      <c r="C6" s="4">
        <f ca="1"/>
        <v>46084</v>
      </c>
      <c r="D6" s="4">
        <f ca="1"/>
        <v>46085</v>
      </c>
      <c r="E6" s="4">
        <f ca="1"/>
        <v>46086</v>
      </c>
      <c r="F6" s="4">
        <f ca="1"/>
        <v>46087</v>
      </c>
      <c r="G6" s="4">
        <f ca="1"/>
        <v>46088</v>
      </c>
      <c r="H6" s="4">
        <f ca="1"/>
        <v>46089</v>
      </c>
    </row>
    <row r="7" spans="2:8" ht="39.75" customHeight="1" x14ac:dyDescent="0.15">
      <c r="B7" s="11"/>
      <c r="C7" s="11"/>
      <c r="D7" s="11"/>
      <c r="E7" s="11"/>
      <c r="F7" s="11"/>
      <c r="G7" s="11"/>
      <c r="H7" s="11"/>
    </row>
    <row r="8" spans="2:8" ht="15" customHeight="1" x14ac:dyDescent="0.15">
      <c r="B8" s="4">
        <f t="array" aca="1" ref="B8:H8" ca="1">DaysAndWeeks+DATE(CalendarYear,3,1)-WEEKDAY(DATE(CalendarYear,3,1),(WeekStart="M")+1)+15</f>
        <v>46090</v>
      </c>
      <c r="C8" s="4">
        <f ca="1"/>
        <v>46091</v>
      </c>
      <c r="D8" s="4">
        <f ca="1"/>
        <v>46092</v>
      </c>
      <c r="E8" s="4">
        <f ca="1"/>
        <v>46093</v>
      </c>
      <c r="F8" s="4">
        <f ca="1"/>
        <v>46094</v>
      </c>
      <c r="G8" s="4">
        <f ca="1"/>
        <v>46095</v>
      </c>
      <c r="H8" s="4">
        <f ca="1"/>
        <v>46096</v>
      </c>
    </row>
    <row r="9" spans="2:8" ht="39.75" customHeight="1" x14ac:dyDescent="0.15">
      <c r="B9" s="11"/>
      <c r="C9" s="11"/>
      <c r="D9" s="11"/>
      <c r="E9" s="11"/>
      <c r="F9" s="11"/>
      <c r="G9" s="11"/>
      <c r="H9" s="11"/>
    </row>
    <row r="10" spans="2:8" ht="15" customHeight="1" x14ac:dyDescent="0.15">
      <c r="B10" s="4">
        <f t="array" aca="1" ref="B10:H10" ca="1">DaysAndWeeks+DATE(CalendarYear,3,1)-WEEKDAY(DATE(CalendarYear,3,1),(WeekStart="M")+1)+22</f>
        <v>46097</v>
      </c>
      <c r="C10" s="4">
        <f ca="1"/>
        <v>46098</v>
      </c>
      <c r="D10" s="4">
        <f ca="1"/>
        <v>46099</v>
      </c>
      <c r="E10" s="4">
        <f ca="1"/>
        <v>46100</v>
      </c>
      <c r="F10" s="4">
        <f ca="1"/>
        <v>46101</v>
      </c>
      <c r="G10" s="4">
        <f ca="1"/>
        <v>46102</v>
      </c>
      <c r="H10" s="4">
        <f ca="1"/>
        <v>46103</v>
      </c>
    </row>
    <row r="11" spans="2:8" ht="40.5" customHeight="1" x14ac:dyDescent="0.15">
      <c r="B11" s="11"/>
      <c r="C11" s="11"/>
      <c r="D11" s="11"/>
      <c r="E11" s="14" t="s">
        <v>55</v>
      </c>
      <c r="F11" s="13" t="s">
        <v>41</v>
      </c>
      <c r="G11" s="11"/>
      <c r="H11" s="11"/>
    </row>
    <row r="12" spans="2:8" ht="15" customHeight="1" x14ac:dyDescent="0.15">
      <c r="B12" s="4">
        <f t="array" aca="1" ref="B12:H12" ca="1">DaysAndWeeks+DATE(CalendarYear,3,1)-WEEKDAY(DATE(CalendarYear,3,1),(WeekStart="M")+1)+29</f>
        <v>46104</v>
      </c>
      <c r="C12" s="4">
        <f ca="1"/>
        <v>46105</v>
      </c>
      <c r="D12" s="4">
        <f ca="1"/>
        <v>46106</v>
      </c>
      <c r="E12" s="4">
        <f ca="1"/>
        <v>46107</v>
      </c>
      <c r="F12" s="4">
        <f ca="1"/>
        <v>46108</v>
      </c>
      <c r="G12" s="4">
        <f ca="1"/>
        <v>46109</v>
      </c>
      <c r="H12" s="4">
        <f ca="1"/>
        <v>46110</v>
      </c>
    </row>
    <row r="13" spans="2:8" ht="39.75" customHeight="1" x14ac:dyDescent="0.15">
      <c r="B13" s="11"/>
      <c r="C13" s="11"/>
      <c r="D13" s="11"/>
      <c r="E13" s="11"/>
      <c r="F13" s="11"/>
      <c r="G13" s="11" t="s">
        <v>57</v>
      </c>
      <c r="H13" s="11"/>
    </row>
    <row r="14" spans="2:8" ht="15" customHeight="1" x14ac:dyDescent="0.15">
      <c r="B14" s="4">
        <f t="array" aca="1" ref="B14:H14" ca="1">DaysAndWeeks+DATE(CalendarYear,3,1)-WEEKDAY(DATE(CalendarYear,3,1),(WeekStart="M")+1)+36</f>
        <v>46111</v>
      </c>
      <c r="C14" s="4">
        <f ca="1"/>
        <v>46112</v>
      </c>
      <c r="D14" s="4">
        <f ca="1"/>
        <v>46113</v>
      </c>
      <c r="E14" s="4">
        <f ca="1"/>
        <v>46114</v>
      </c>
      <c r="F14" s="4">
        <f ca="1"/>
        <v>46115</v>
      </c>
      <c r="G14" s="4">
        <f ca="1"/>
        <v>46116</v>
      </c>
      <c r="H14" s="4">
        <f ca="1"/>
        <v>46117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</sheetData>
  <conditionalFormatting sqref="B4:G4">
    <cfRule type="expression" dxfId="19" priority="2">
      <formula>DAY(B4)&gt;8</formula>
    </cfRule>
  </conditionalFormatting>
  <conditionalFormatting sqref="B12:H15">
    <cfRule type="expression" dxfId="18" priority="1">
      <formula>AND(DAY(B12)&gt;=1,DAY(B12)&lt;=15)</formula>
    </cfRule>
  </conditionalFormatting>
  <hyperlinks>
    <hyperlink ref="D1" location="APRIL!A1" tooltip="Navigation link to the next month" display="APRIL -&gt;" xr:uid="{00000000-0004-0000-0200-000000000000}"/>
    <hyperlink ref="C1" location="FEBRUARY!A1" tooltip="Navigation link to the previous month" display="&lt;- FEBRUARY" xr:uid="{00000000-0004-0000-0200-000001000000}"/>
  </hyperlinks>
  <printOptions horizontalCentered="1"/>
  <pageMargins left="0.09" right="0.5" top="0.75" bottom="0.75" header="0.3" footer="0.3"/>
  <pageSetup fitToHeight="0" orientation="landscape" horizontalDpi="4294967293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theme="0" tint="-0.249977111117893"/>
    <pageSetUpPr fitToPage="1"/>
  </sheetPr>
  <dimension ref="B1:H15"/>
  <sheetViews>
    <sheetView showGridLines="0" zoomScaleNormal="100" workbookViewId="0">
      <selection activeCell="M13" sqref="M13"/>
    </sheetView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30" customHeight="1" x14ac:dyDescent="0.3">
      <c r="B1" s="7">
        <f ca="1">CalendarYear</f>
        <v>2026</v>
      </c>
      <c r="C1" s="6" t="s">
        <v>24</v>
      </c>
      <c r="D1" s="6" t="s">
        <v>25</v>
      </c>
      <c r="E1" s="1"/>
      <c r="F1" s="1"/>
      <c r="G1" s="1"/>
      <c r="H1" s="6"/>
    </row>
    <row r="2" spans="2:8" ht="45" customHeight="1" x14ac:dyDescent="0.15">
      <c r="B2" s="8" t="s">
        <v>4</v>
      </c>
      <c r="C2" s="8"/>
      <c r="D2" s="8"/>
      <c r="E2" s="8"/>
      <c r="F2" s="3"/>
    </row>
    <row r="3" spans="2:8" ht="18.75" customHeight="1" x14ac:dyDescent="0.15">
      <c r="B3" s="5" t="str">
        <f>WeekStart</f>
        <v>M</v>
      </c>
      <c r="C3" s="5" t="str">
        <f t="shared" ref="C3:H3" ca="1" si="0">LEFT(TEXT(C4,"ddd"),1)</f>
        <v>T</v>
      </c>
      <c r="D3" s="5" t="str">
        <f t="shared" ca="1" si="0"/>
        <v>W</v>
      </c>
      <c r="E3" s="5" t="str">
        <f t="shared" ca="1" si="0"/>
        <v>T</v>
      </c>
      <c r="F3" s="5" t="str">
        <f t="shared" ca="1" si="0"/>
        <v>F</v>
      </c>
      <c r="G3" s="5" t="str">
        <f t="shared" ca="1" si="0"/>
        <v>S</v>
      </c>
      <c r="H3" s="5" t="str">
        <f t="shared" ca="1" si="0"/>
        <v>S</v>
      </c>
    </row>
    <row r="4" spans="2:8" ht="16.5" customHeight="1" x14ac:dyDescent="0.15">
      <c r="B4" s="4">
        <f t="array" aca="1" ref="B4:H4" ca="1">DaysAndWeeks+DATE(CalendarYear,4,1)-WEEKDAY(DATE(CalendarYear,4,1),(WeekStart="M")+1)+1</f>
        <v>46111</v>
      </c>
      <c r="C4" s="4">
        <f ca="1"/>
        <v>46112</v>
      </c>
      <c r="D4" s="4">
        <f ca="1"/>
        <v>46113</v>
      </c>
      <c r="E4" s="4">
        <f ca="1"/>
        <v>46114</v>
      </c>
      <c r="F4" s="4">
        <f ca="1"/>
        <v>46115</v>
      </c>
      <c r="G4" s="4">
        <f ca="1"/>
        <v>46116</v>
      </c>
      <c r="H4" s="4">
        <f ca="1"/>
        <v>46117</v>
      </c>
    </row>
    <row r="5" spans="2:8" ht="39.75" customHeight="1" x14ac:dyDescent="0.15">
      <c r="B5" s="11"/>
      <c r="C5" s="11"/>
      <c r="D5" s="11"/>
      <c r="E5" s="11"/>
      <c r="F5" s="11"/>
      <c r="G5" s="11"/>
      <c r="H5" s="11"/>
    </row>
    <row r="6" spans="2:8" ht="15" customHeight="1" x14ac:dyDescent="0.15">
      <c r="B6" s="4">
        <f t="array" aca="1" ref="B6:H6" ca="1">DaysAndWeeks+DATE(CalendarYear,4,1)-WEEKDAY(DATE(CalendarYear,4,1),(WeekStart="M")+1)+8</f>
        <v>46118</v>
      </c>
      <c r="C6" s="4">
        <f ca="1"/>
        <v>46119</v>
      </c>
      <c r="D6" s="4">
        <f ca="1"/>
        <v>46120</v>
      </c>
      <c r="E6" s="4">
        <f ca="1"/>
        <v>46121</v>
      </c>
      <c r="F6" s="4">
        <f ca="1"/>
        <v>46122</v>
      </c>
      <c r="G6" s="4">
        <f ca="1"/>
        <v>46123</v>
      </c>
      <c r="H6" s="4">
        <f ca="1"/>
        <v>46124</v>
      </c>
    </row>
    <row r="7" spans="2:8" ht="39.75" customHeight="1" x14ac:dyDescent="0.15">
      <c r="B7" s="11"/>
      <c r="C7" s="11"/>
      <c r="D7" s="11"/>
      <c r="E7" s="11"/>
      <c r="F7" s="11"/>
      <c r="G7" s="11"/>
      <c r="H7" s="11"/>
    </row>
    <row r="8" spans="2:8" ht="15" customHeight="1" x14ac:dyDescent="0.15">
      <c r="B8" s="4">
        <f t="array" aca="1" ref="B8:H8" ca="1">DaysAndWeeks+DATE(CalendarYear,4,1)-WEEKDAY(DATE(CalendarYear,4,1),(WeekStart="M")+1)+15</f>
        <v>46125</v>
      </c>
      <c r="C8" s="4">
        <f ca="1"/>
        <v>46126</v>
      </c>
      <c r="D8" s="4">
        <f ca="1"/>
        <v>46127</v>
      </c>
      <c r="E8" s="4">
        <f ca="1"/>
        <v>46128</v>
      </c>
      <c r="F8" s="4">
        <f ca="1"/>
        <v>46129</v>
      </c>
      <c r="G8" s="4">
        <f ca="1"/>
        <v>46130</v>
      </c>
      <c r="H8" s="4">
        <f ca="1"/>
        <v>46131</v>
      </c>
    </row>
    <row r="9" spans="2:8" ht="39.75" customHeight="1" x14ac:dyDescent="0.15">
      <c r="B9" s="11"/>
      <c r="C9" s="15" t="s">
        <v>61</v>
      </c>
      <c r="D9" s="11"/>
      <c r="E9" s="11"/>
      <c r="F9" s="11"/>
      <c r="G9" s="11"/>
      <c r="H9" s="11"/>
    </row>
    <row r="10" spans="2:8" ht="15" customHeight="1" x14ac:dyDescent="0.15">
      <c r="B10" s="4">
        <f t="array" aca="1" ref="B10:H10" ca="1">DaysAndWeeks+DATE(CalendarYear,4,1)-WEEKDAY(DATE(CalendarYear,4,1),(WeekStart="M")+1)+22</f>
        <v>46132</v>
      </c>
      <c r="C10" s="4">
        <f ca="1"/>
        <v>46133</v>
      </c>
      <c r="D10" s="4">
        <f ca="1"/>
        <v>46134</v>
      </c>
      <c r="E10" s="4">
        <f ca="1"/>
        <v>46135</v>
      </c>
      <c r="F10" s="4">
        <f ca="1"/>
        <v>46136</v>
      </c>
      <c r="G10" s="4">
        <f ca="1"/>
        <v>46137</v>
      </c>
      <c r="H10" s="4">
        <f ca="1"/>
        <v>46138</v>
      </c>
    </row>
    <row r="11" spans="2:8" ht="40.5" customHeight="1" x14ac:dyDescent="0.15">
      <c r="B11" s="11"/>
      <c r="C11" s="11"/>
      <c r="D11" s="11"/>
      <c r="E11" s="11"/>
      <c r="F11" s="13" t="s">
        <v>42</v>
      </c>
      <c r="G11" s="11"/>
      <c r="H11" s="11"/>
    </row>
    <row r="12" spans="2:8" ht="15" customHeight="1" x14ac:dyDescent="0.15">
      <c r="B12" s="4">
        <f t="array" aca="1" ref="B12:H12" ca="1">DaysAndWeeks+DATE(CalendarYear,4,1)-WEEKDAY(DATE(CalendarYear,4,1),(WeekStart="M")+1)+29</f>
        <v>46139</v>
      </c>
      <c r="C12" s="4">
        <f ca="1"/>
        <v>46140</v>
      </c>
      <c r="D12" s="4">
        <f ca="1"/>
        <v>46141</v>
      </c>
      <c r="E12" s="4">
        <f ca="1"/>
        <v>46142</v>
      </c>
      <c r="F12" s="4">
        <f ca="1"/>
        <v>46143</v>
      </c>
      <c r="G12" s="4">
        <f ca="1"/>
        <v>46144</v>
      </c>
      <c r="H12" s="4">
        <f ca="1"/>
        <v>46145</v>
      </c>
    </row>
    <row r="13" spans="2:8" ht="39.75" customHeight="1" x14ac:dyDescent="0.15">
      <c r="B13" s="11"/>
      <c r="C13" s="11"/>
      <c r="D13" s="11"/>
      <c r="E13" s="11"/>
      <c r="F13" s="11"/>
      <c r="G13" s="11"/>
      <c r="H13" s="11"/>
    </row>
    <row r="14" spans="2:8" ht="15" customHeight="1" x14ac:dyDescent="0.15">
      <c r="B14" s="4">
        <f t="array" aca="1" ref="B14:H14" ca="1">DaysAndWeeks+DATE(CalendarYear,4,1)-WEEKDAY(DATE(CalendarYear,4,1),(WeekStart="M")+1)+36</f>
        <v>46146</v>
      </c>
      <c r="C14" s="4">
        <f ca="1"/>
        <v>46147</v>
      </c>
      <c r="D14" s="4">
        <f ca="1"/>
        <v>46148</v>
      </c>
      <c r="E14" s="4">
        <f ca="1"/>
        <v>46149</v>
      </c>
      <c r="F14" s="4">
        <f ca="1"/>
        <v>46150</v>
      </c>
      <c r="G14" s="4">
        <f ca="1"/>
        <v>46151</v>
      </c>
      <c r="H14" s="4">
        <f ca="1"/>
        <v>46152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</sheetData>
  <conditionalFormatting sqref="B4:G4">
    <cfRule type="expression" dxfId="17" priority="2">
      <formula>DAY(B4)&gt;8</formula>
    </cfRule>
  </conditionalFormatting>
  <conditionalFormatting sqref="B12:H15">
    <cfRule type="expression" dxfId="16" priority="1">
      <formula>AND(DAY(B12)&gt;=1,DAY(B12)&lt;=15)</formula>
    </cfRule>
  </conditionalFormatting>
  <hyperlinks>
    <hyperlink ref="D1" location="MAY!A1" tooltip="Navigation link to the next month" display="MAY -&gt;" xr:uid="{00000000-0004-0000-0300-000000000000}"/>
    <hyperlink ref="C1" location="MARCH!A1" tooltip="Navigation link to the previous month" display="&lt;- MARCH" xr:uid="{00000000-0004-0000-0300-000001000000}"/>
  </hyperlinks>
  <printOptions horizontalCentered="1"/>
  <pageMargins left="0.09" right="0.5" top="0.75" bottom="0.75" header="0.3" footer="0.3"/>
  <pageSetup fitToHeight="0" orientation="landscape" horizontalDpi="4294967293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theme="0" tint="-0.34998626667073579"/>
    <pageSetUpPr fitToPage="1"/>
  </sheetPr>
  <dimension ref="B1:H15"/>
  <sheetViews>
    <sheetView showGridLines="0" zoomScaleNormal="100" workbookViewId="0">
      <selection activeCell="N12" sqref="N12"/>
    </sheetView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30" customHeight="1" x14ac:dyDescent="0.3">
      <c r="B1" s="7">
        <f ca="1">CalendarYear</f>
        <v>2026</v>
      </c>
      <c r="C1" s="6" t="s">
        <v>26</v>
      </c>
      <c r="D1" s="6" t="s">
        <v>27</v>
      </c>
      <c r="E1" s="1"/>
      <c r="F1" s="1"/>
      <c r="G1" s="1"/>
      <c r="H1" s="6"/>
    </row>
    <row r="2" spans="2:8" ht="45" customHeight="1" x14ac:dyDescent="0.15">
      <c r="B2" s="8" t="s">
        <v>0</v>
      </c>
      <c r="C2" s="8"/>
      <c r="D2" s="8"/>
      <c r="E2" s="8"/>
      <c r="F2" s="3"/>
    </row>
    <row r="3" spans="2:8" ht="18.75" customHeight="1" x14ac:dyDescent="0.15">
      <c r="B3" s="5" t="str">
        <f>WeekStart</f>
        <v>M</v>
      </c>
      <c r="C3" s="5" t="str">
        <f t="shared" ref="C3:H3" ca="1" si="0">LEFT(TEXT(C4,"ddd"),1)</f>
        <v>T</v>
      </c>
      <c r="D3" s="5" t="str">
        <f t="shared" ca="1" si="0"/>
        <v>W</v>
      </c>
      <c r="E3" s="5" t="str">
        <f t="shared" ca="1" si="0"/>
        <v>T</v>
      </c>
      <c r="F3" s="5" t="str">
        <f t="shared" ca="1" si="0"/>
        <v>F</v>
      </c>
      <c r="G3" s="5" t="str">
        <f t="shared" ca="1" si="0"/>
        <v>S</v>
      </c>
      <c r="H3" s="5" t="str">
        <f t="shared" ca="1" si="0"/>
        <v>S</v>
      </c>
    </row>
    <row r="4" spans="2:8" ht="16.5" customHeight="1" x14ac:dyDescent="0.15">
      <c r="B4" s="4">
        <f t="array" aca="1" ref="B4:H4" ca="1">DaysAndWeeks+DATE(CalendarYear,5,1)-WEEKDAY(DATE(CalendarYear,5,1),(WeekStart="M")+1)+1</f>
        <v>46139</v>
      </c>
      <c r="C4" s="4">
        <f ca="1"/>
        <v>46140</v>
      </c>
      <c r="D4" s="4">
        <f ca="1"/>
        <v>46141</v>
      </c>
      <c r="E4" s="4">
        <f ca="1"/>
        <v>46142</v>
      </c>
      <c r="F4" s="4">
        <f ca="1"/>
        <v>46143</v>
      </c>
      <c r="G4" s="4">
        <f ca="1"/>
        <v>46144</v>
      </c>
      <c r="H4" s="4">
        <f ca="1"/>
        <v>46145</v>
      </c>
    </row>
    <row r="5" spans="2:8" ht="39.75" customHeight="1" x14ac:dyDescent="0.15">
      <c r="B5" s="11"/>
      <c r="C5" s="11"/>
      <c r="D5" s="11"/>
      <c r="E5" s="11"/>
      <c r="F5" s="11"/>
      <c r="G5" s="11"/>
      <c r="H5" s="11"/>
    </row>
    <row r="6" spans="2:8" ht="15" customHeight="1" x14ac:dyDescent="0.15">
      <c r="B6" s="4">
        <f t="array" aca="1" ref="B6:H6" ca="1">DaysAndWeeks+DATE(CalendarYear,5,1)-WEEKDAY(DATE(CalendarYear,5,1),(WeekStart="M")+1)+8</f>
        <v>46146</v>
      </c>
      <c r="C6" s="4">
        <f ca="1"/>
        <v>46147</v>
      </c>
      <c r="D6" s="4">
        <f ca="1"/>
        <v>46148</v>
      </c>
      <c r="E6" s="4">
        <f ca="1"/>
        <v>46149</v>
      </c>
      <c r="F6" s="4">
        <f ca="1"/>
        <v>46150</v>
      </c>
      <c r="G6" s="4">
        <f ca="1"/>
        <v>46151</v>
      </c>
      <c r="H6" s="4">
        <f ca="1"/>
        <v>46152</v>
      </c>
    </row>
    <row r="7" spans="2:8" ht="39.75" customHeight="1" x14ac:dyDescent="0.15">
      <c r="B7" s="11"/>
      <c r="C7" s="11"/>
      <c r="D7" s="11"/>
      <c r="E7" s="11"/>
      <c r="F7" s="11"/>
      <c r="G7" s="11"/>
      <c r="H7" s="16" t="s">
        <v>62</v>
      </c>
    </row>
    <row r="8" spans="2:8" ht="15" customHeight="1" x14ac:dyDescent="0.15">
      <c r="B8" s="4">
        <f t="array" aca="1" ref="B8:H8" ca="1">DaysAndWeeks+DATE(CalendarYear,5,1)-WEEKDAY(DATE(CalendarYear,5,1),(WeekStart="M")+1)+15</f>
        <v>46153</v>
      </c>
      <c r="C8" s="4">
        <f ca="1"/>
        <v>46154</v>
      </c>
      <c r="D8" s="4">
        <f ca="1"/>
        <v>46155</v>
      </c>
      <c r="E8" s="4">
        <f ca="1"/>
        <v>46156</v>
      </c>
      <c r="F8" s="4">
        <f ca="1"/>
        <v>46157</v>
      </c>
      <c r="G8" s="4">
        <f ca="1"/>
        <v>46158</v>
      </c>
      <c r="H8" s="4">
        <f ca="1"/>
        <v>46159</v>
      </c>
    </row>
    <row r="9" spans="2:8" ht="39.75" customHeight="1" x14ac:dyDescent="0.15">
      <c r="B9" s="13" t="s">
        <v>43</v>
      </c>
      <c r="C9" s="11"/>
      <c r="D9" s="11"/>
      <c r="E9" s="11"/>
      <c r="F9" s="11"/>
      <c r="G9" s="11"/>
      <c r="H9" s="11"/>
    </row>
    <row r="10" spans="2:8" ht="15" customHeight="1" x14ac:dyDescent="0.15">
      <c r="B10" s="4">
        <f t="array" aca="1" ref="B10:H10" ca="1">DaysAndWeeks+DATE(CalendarYear,5,1)-WEEKDAY(DATE(CalendarYear,5,1),(WeekStart="M")+1)+22</f>
        <v>46160</v>
      </c>
      <c r="C10" s="4">
        <f ca="1"/>
        <v>46161</v>
      </c>
      <c r="D10" s="4">
        <f ca="1"/>
        <v>46162</v>
      </c>
      <c r="E10" s="4">
        <f ca="1"/>
        <v>46163</v>
      </c>
      <c r="F10" s="4">
        <f ca="1"/>
        <v>46164</v>
      </c>
      <c r="G10" s="4">
        <f ca="1"/>
        <v>46165</v>
      </c>
      <c r="H10" s="4">
        <f ca="1"/>
        <v>46166</v>
      </c>
    </row>
    <row r="11" spans="2:8" ht="40.5" customHeight="1" x14ac:dyDescent="0.15">
      <c r="B11" s="11"/>
      <c r="C11" s="11"/>
      <c r="D11" s="11"/>
      <c r="E11" s="11"/>
      <c r="F11" s="11"/>
      <c r="G11" s="11"/>
      <c r="H11" s="11"/>
    </row>
    <row r="12" spans="2:8" ht="15" customHeight="1" x14ac:dyDescent="0.15">
      <c r="B12" s="4">
        <f t="array" aca="1" ref="B12:H12" ca="1">DaysAndWeeks+DATE(CalendarYear,5,1)-WEEKDAY(DATE(CalendarYear,5,1),(WeekStart="M")+1)+29</f>
        <v>46167</v>
      </c>
      <c r="C12" s="4">
        <f ca="1"/>
        <v>46168</v>
      </c>
      <c r="D12" s="4">
        <f ca="1"/>
        <v>46169</v>
      </c>
      <c r="E12" s="4">
        <f ca="1"/>
        <v>46170</v>
      </c>
      <c r="F12" s="4">
        <f ca="1"/>
        <v>46171</v>
      </c>
      <c r="G12" s="4">
        <f ca="1"/>
        <v>46172</v>
      </c>
      <c r="H12" s="4">
        <f ca="1"/>
        <v>46173</v>
      </c>
    </row>
    <row r="13" spans="2:8" ht="39.75" customHeight="1" x14ac:dyDescent="0.15">
      <c r="B13" s="11"/>
      <c r="C13" s="11"/>
      <c r="D13" s="11"/>
      <c r="E13" s="11"/>
      <c r="F13" s="11"/>
      <c r="G13" s="11"/>
      <c r="H13" s="11"/>
    </row>
    <row r="14" spans="2:8" ht="15" customHeight="1" x14ac:dyDescent="0.15">
      <c r="B14" s="4">
        <f t="array" aca="1" ref="B14:H14" ca="1">DaysAndWeeks+DATE(CalendarYear,5,1)-WEEKDAY(DATE(CalendarYear,5,1),(WeekStart="M")+1)+36</f>
        <v>46174</v>
      </c>
      <c r="C14" s="4">
        <f ca="1"/>
        <v>46175</v>
      </c>
      <c r="D14" s="4">
        <f ca="1"/>
        <v>46176</v>
      </c>
      <c r="E14" s="4">
        <f ca="1"/>
        <v>46177</v>
      </c>
      <c r="F14" s="4">
        <f ca="1"/>
        <v>46178</v>
      </c>
      <c r="G14" s="4">
        <f ca="1"/>
        <v>46179</v>
      </c>
      <c r="H14" s="4">
        <f ca="1"/>
        <v>46180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</sheetData>
  <conditionalFormatting sqref="B4:G4">
    <cfRule type="expression" dxfId="15" priority="2">
      <formula>DAY(B4)&gt;8</formula>
    </cfRule>
  </conditionalFormatting>
  <conditionalFormatting sqref="B12:H15">
    <cfRule type="expression" dxfId="14" priority="1">
      <formula>AND(DAY(B12)&gt;=1,DAY(B12)&lt;=15)</formula>
    </cfRule>
  </conditionalFormatting>
  <hyperlinks>
    <hyperlink ref="D1" location="JUNE!A1" tooltip="Navigation link to the next month" display="JUNE -&gt;" xr:uid="{00000000-0004-0000-0400-000000000000}"/>
    <hyperlink ref="C1" location="APRIL!A1" tooltip="Navigation link to the previous month" display="&lt;- APRIL" xr:uid="{00000000-0004-0000-0400-000001000000}"/>
  </hyperlinks>
  <printOptions horizontalCentered="1"/>
  <pageMargins left="0.09" right="0.5" top="0.75" bottom="0.75" header="0.3" footer="0.3"/>
  <pageSetup fitToHeight="0" orientation="landscape" horizontalDpi="4294967293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theme="0" tint="-0.499984740745262"/>
    <pageSetUpPr fitToPage="1"/>
  </sheetPr>
  <dimension ref="B1:H15"/>
  <sheetViews>
    <sheetView showGridLines="0" zoomScaleNormal="100" workbookViewId="0">
      <selection activeCell="K11" sqref="K11"/>
    </sheetView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30" customHeight="1" x14ac:dyDescent="0.3">
      <c r="B1" s="7">
        <f ca="1">CalendarYear</f>
        <v>2026</v>
      </c>
      <c r="C1" s="6" t="s">
        <v>28</v>
      </c>
      <c r="D1" s="6" t="s">
        <v>29</v>
      </c>
      <c r="E1" s="1"/>
      <c r="F1" s="1"/>
      <c r="G1" s="1"/>
      <c r="H1" s="6"/>
    </row>
    <row r="2" spans="2:8" ht="45" customHeight="1" x14ac:dyDescent="0.15">
      <c r="B2" s="8" t="s">
        <v>5</v>
      </c>
      <c r="C2" s="8"/>
      <c r="D2" s="8"/>
      <c r="E2" s="8"/>
      <c r="F2" s="3"/>
    </row>
    <row r="3" spans="2:8" ht="18.75" customHeight="1" x14ac:dyDescent="0.15">
      <c r="B3" s="5" t="str">
        <f>WeekStart</f>
        <v>M</v>
      </c>
      <c r="C3" s="5" t="str">
        <f t="shared" ref="C3:H3" ca="1" si="0">LEFT(TEXT(C4,"ddd"),1)</f>
        <v>T</v>
      </c>
      <c r="D3" s="5" t="str">
        <f t="shared" ca="1" si="0"/>
        <v>W</v>
      </c>
      <c r="E3" s="5" t="str">
        <f t="shared" ca="1" si="0"/>
        <v>T</v>
      </c>
      <c r="F3" s="5" t="str">
        <f t="shared" ca="1" si="0"/>
        <v>F</v>
      </c>
      <c r="G3" s="5" t="str">
        <f t="shared" ca="1" si="0"/>
        <v>S</v>
      </c>
      <c r="H3" s="5" t="str">
        <f t="shared" ca="1" si="0"/>
        <v>S</v>
      </c>
    </row>
    <row r="4" spans="2:8" ht="16.5" customHeight="1" x14ac:dyDescent="0.15">
      <c r="B4" s="4">
        <f t="array" aca="1" ref="B4:H4" ca="1">DaysAndWeeks+DATE(CalendarYear,6,1)-WEEKDAY(DATE(CalendarYear,6,1),(WeekStart="M")+1)+1</f>
        <v>46174</v>
      </c>
      <c r="C4" s="4">
        <f ca="1"/>
        <v>46175</v>
      </c>
      <c r="D4" s="4">
        <f ca="1"/>
        <v>46176</v>
      </c>
      <c r="E4" s="4">
        <f ca="1"/>
        <v>46177</v>
      </c>
      <c r="F4" s="4">
        <f ca="1"/>
        <v>46178</v>
      </c>
      <c r="G4" s="4">
        <f ca="1"/>
        <v>46179</v>
      </c>
      <c r="H4" s="4">
        <f ca="1"/>
        <v>46180</v>
      </c>
    </row>
    <row r="5" spans="2:8" ht="39.75" customHeight="1" x14ac:dyDescent="0.15">
      <c r="B5" s="11"/>
      <c r="C5" s="11"/>
      <c r="D5" s="11"/>
      <c r="E5" s="13" t="s">
        <v>44</v>
      </c>
      <c r="F5" s="11"/>
      <c r="G5" s="11"/>
      <c r="H5" s="11"/>
    </row>
    <row r="6" spans="2:8" ht="15" customHeight="1" x14ac:dyDescent="0.15">
      <c r="B6" s="4">
        <f t="array" aca="1" ref="B6:H6" ca="1">DaysAndWeeks+DATE(CalendarYear,6,1)-WEEKDAY(DATE(CalendarYear,6,1),(WeekStart="M")+1)+8</f>
        <v>46181</v>
      </c>
      <c r="C6" s="4">
        <f ca="1"/>
        <v>46182</v>
      </c>
      <c r="D6" s="4">
        <f ca="1"/>
        <v>46183</v>
      </c>
      <c r="E6" s="4">
        <f ca="1"/>
        <v>46184</v>
      </c>
      <c r="F6" s="4">
        <f ca="1"/>
        <v>46185</v>
      </c>
      <c r="G6" s="4">
        <f ca="1"/>
        <v>46186</v>
      </c>
      <c r="H6" s="4">
        <f ca="1"/>
        <v>46187</v>
      </c>
    </row>
    <row r="7" spans="2:8" ht="39.75" customHeight="1" x14ac:dyDescent="0.15">
      <c r="B7" s="11"/>
      <c r="C7" s="11"/>
      <c r="D7" s="11"/>
      <c r="E7" s="11"/>
      <c r="F7" s="11"/>
      <c r="G7" s="11"/>
      <c r="H7" s="11"/>
    </row>
    <row r="8" spans="2:8" ht="15" customHeight="1" x14ac:dyDescent="0.15">
      <c r="B8" s="4">
        <f t="array" aca="1" ref="B8:H8" ca="1">DaysAndWeeks+DATE(CalendarYear,6,1)-WEEKDAY(DATE(CalendarYear,6,1),(WeekStart="M")+1)+15</f>
        <v>46188</v>
      </c>
      <c r="C8" s="4">
        <f ca="1"/>
        <v>46189</v>
      </c>
      <c r="D8" s="4">
        <f ca="1"/>
        <v>46190</v>
      </c>
      <c r="E8" s="4">
        <f ca="1"/>
        <v>46191</v>
      </c>
      <c r="F8" s="4">
        <f ca="1"/>
        <v>46192</v>
      </c>
      <c r="G8" s="4">
        <f ca="1"/>
        <v>46193</v>
      </c>
      <c r="H8" s="4">
        <f ca="1"/>
        <v>46194</v>
      </c>
    </row>
    <row r="9" spans="2:8" ht="39.75" customHeight="1" x14ac:dyDescent="0.15">
      <c r="B9" s="11"/>
      <c r="C9" s="11"/>
      <c r="D9" s="11"/>
      <c r="E9" s="11"/>
      <c r="F9" s="11"/>
      <c r="G9" s="11" t="s">
        <v>58</v>
      </c>
      <c r="H9" s="11"/>
    </row>
    <row r="10" spans="2:8" ht="15" customHeight="1" x14ac:dyDescent="0.15">
      <c r="B10" s="4">
        <f t="array" aca="1" ref="B10:H10" ca="1">DaysAndWeeks+DATE(CalendarYear,6,1)-WEEKDAY(DATE(CalendarYear,6,1),(WeekStart="M")+1)+22</f>
        <v>46195</v>
      </c>
      <c r="C10" s="4">
        <f ca="1"/>
        <v>46196</v>
      </c>
      <c r="D10" s="4">
        <f ca="1"/>
        <v>46197</v>
      </c>
      <c r="E10" s="4">
        <f ca="1"/>
        <v>46198</v>
      </c>
      <c r="F10" s="4">
        <f ca="1"/>
        <v>46199</v>
      </c>
      <c r="G10" s="4">
        <f ca="1"/>
        <v>46200</v>
      </c>
      <c r="H10" s="4">
        <f ca="1"/>
        <v>46201</v>
      </c>
    </row>
    <row r="11" spans="2:8" ht="40.5" customHeight="1" x14ac:dyDescent="0.15">
      <c r="B11" s="11"/>
      <c r="C11" s="11"/>
      <c r="D11" s="11"/>
      <c r="E11" s="11"/>
      <c r="F11" s="11"/>
      <c r="G11" s="11"/>
      <c r="H11" s="11"/>
    </row>
    <row r="12" spans="2:8" ht="15" customHeight="1" x14ac:dyDescent="0.15">
      <c r="B12" s="4">
        <f t="array" aca="1" ref="B12:H12" ca="1">DaysAndWeeks+DATE(CalendarYear,6,1)-WEEKDAY(DATE(CalendarYear,6,1),(WeekStart="M")+1)+29</f>
        <v>46202</v>
      </c>
      <c r="C12" s="4">
        <f ca="1"/>
        <v>46203</v>
      </c>
      <c r="D12" s="4">
        <f ca="1"/>
        <v>46204</v>
      </c>
      <c r="E12" s="4">
        <f ca="1"/>
        <v>46205</v>
      </c>
      <c r="F12" s="4">
        <f ca="1"/>
        <v>46206</v>
      </c>
      <c r="G12" s="4">
        <f ca="1"/>
        <v>46207</v>
      </c>
      <c r="H12" s="4">
        <f ca="1"/>
        <v>46208</v>
      </c>
    </row>
    <row r="13" spans="2:8" ht="39.75" customHeight="1" x14ac:dyDescent="0.15">
      <c r="B13" s="11"/>
      <c r="C13" s="11"/>
      <c r="D13" s="11"/>
      <c r="E13" s="11"/>
      <c r="F13" s="11"/>
      <c r="G13" s="11"/>
      <c r="H13" s="11"/>
    </row>
    <row r="14" spans="2:8" ht="15" customHeight="1" x14ac:dyDescent="0.15">
      <c r="B14" s="4">
        <f t="array" aca="1" ref="B14:H14" ca="1">DaysAndWeeks+DATE(CalendarYear,6,1)-WEEKDAY(DATE(CalendarYear,6,1),(WeekStart="M")+1)+36</f>
        <v>46209</v>
      </c>
      <c r="C14" s="4">
        <f ca="1"/>
        <v>46210</v>
      </c>
      <c r="D14" s="4">
        <f ca="1"/>
        <v>46211</v>
      </c>
      <c r="E14" s="4">
        <f ca="1"/>
        <v>46212</v>
      </c>
      <c r="F14" s="4">
        <f ca="1"/>
        <v>46213</v>
      </c>
      <c r="G14" s="4">
        <f ca="1"/>
        <v>46214</v>
      </c>
      <c r="H14" s="4">
        <f ca="1"/>
        <v>46215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</sheetData>
  <conditionalFormatting sqref="B4:G4">
    <cfRule type="expression" dxfId="13" priority="2">
      <formula>DAY(B4)&gt;8</formula>
    </cfRule>
  </conditionalFormatting>
  <conditionalFormatting sqref="B12:H15">
    <cfRule type="expression" dxfId="12" priority="1">
      <formula>AND(DAY(B12)&gt;=1,DAY(B12)&lt;=15)</formula>
    </cfRule>
  </conditionalFormatting>
  <hyperlinks>
    <hyperlink ref="D1" location="JULY!A1" tooltip="Navigation link to the next month" display="JULY -&gt;" xr:uid="{00000000-0004-0000-0500-000000000000}"/>
    <hyperlink ref="C1" location="MAY!A1" tooltip="Navigation link to the previous month" display="&lt;- MAY" xr:uid="{00000000-0004-0000-0500-000001000000}"/>
  </hyperlinks>
  <printOptions horizontalCentered="1"/>
  <pageMargins left="0.09" right="0.5" top="0.75" bottom="0.75" header="0.3" footer="0.3"/>
  <pageSetup fitToHeight="0" orientation="landscape" horizontalDpi="4294967293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theme="4" tint="-0.499984740745262"/>
    <pageSetUpPr fitToPage="1"/>
  </sheetPr>
  <dimension ref="B1:H15"/>
  <sheetViews>
    <sheetView showGridLines="0" zoomScaleNormal="100" workbookViewId="0">
      <selection activeCell="D1" sqref="D1"/>
    </sheetView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30" customHeight="1" x14ac:dyDescent="0.3">
      <c r="B1" s="7">
        <f ca="1">CalendarYear</f>
        <v>2026</v>
      </c>
      <c r="C1" s="6" t="s">
        <v>30</v>
      </c>
      <c r="D1" s="6" t="s">
        <v>31</v>
      </c>
      <c r="E1" s="1"/>
      <c r="F1" s="1"/>
      <c r="G1" s="1"/>
      <c r="H1" s="6"/>
    </row>
    <row r="2" spans="2:8" ht="45" customHeight="1" x14ac:dyDescent="0.15">
      <c r="B2" s="8" t="s">
        <v>6</v>
      </c>
      <c r="C2" s="8"/>
      <c r="D2" s="8"/>
      <c r="E2" s="8"/>
      <c r="F2" s="3"/>
    </row>
    <row r="3" spans="2:8" ht="18.75" customHeight="1" x14ac:dyDescent="0.15">
      <c r="B3" s="5" t="str">
        <f>WeekStart</f>
        <v>M</v>
      </c>
      <c r="C3" s="5" t="str">
        <f t="shared" ref="C3:H3" ca="1" si="0">LEFT(TEXT(C4,"ddd"),1)</f>
        <v>T</v>
      </c>
      <c r="D3" s="5" t="str">
        <f t="shared" ca="1" si="0"/>
        <v>W</v>
      </c>
      <c r="E3" s="5" t="str">
        <f t="shared" ca="1" si="0"/>
        <v>T</v>
      </c>
      <c r="F3" s="5" t="str">
        <f t="shared" ca="1" si="0"/>
        <v>F</v>
      </c>
      <c r="G3" s="5" t="str">
        <f t="shared" ca="1" si="0"/>
        <v>S</v>
      </c>
      <c r="H3" s="5" t="str">
        <f t="shared" ca="1" si="0"/>
        <v>S</v>
      </c>
    </row>
    <row r="4" spans="2:8" ht="16.5" customHeight="1" x14ac:dyDescent="0.15">
      <c r="B4" s="4">
        <f t="array" aca="1" ref="B4:H4" ca="1">DaysAndWeeks+DATE(CalendarYear,7,1)-WEEKDAY(DATE(CalendarYear,7,1),(WeekStart="M")+1)+1</f>
        <v>46202</v>
      </c>
      <c r="C4" s="4">
        <f ca="1"/>
        <v>46203</v>
      </c>
      <c r="D4" s="4">
        <f ca="1"/>
        <v>46204</v>
      </c>
      <c r="E4" s="4">
        <f ca="1"/>
        <v>46205</v>
      </c>
      <c r="F4" s="4">
        <f ca="1"/>
        <v>46206</v>
      </c>
      <c r="G4" s="4">
        <f ca="1"/>
        <v>46207</v>
      </c>
      <c r="H4" s="4">
        <f ca="1"/>
        <v>46208</v>
      </c>
    </row>
    <row r="5" spans="2:8" ht="39.75" customHeight="1" x14ac:dyDescent="0.15">
      <c r="B5" s="11"/>
      <c r="C5" s="11"/>
      <c r="D5" s="11"/>
      <c r="E5" s="11"/>
      <c r="F5" s="11"/>
      <c r="G5" s="13" t="s">
        <v>45</v>
      </c>
      <c r="H5" s="11"/>
    </row>
    <row r="6" spans="2:8" ht="15" customHeight="1" x14ac:dyDescent="0.15">
      <c r="B6" s="4">
        <f t="array" aca="1" ref="B6:H6" ca="1">DaysAndWeeks+DATE(CalendarYear,7,1)-WEEKDAY(DATE(CalendarYear,7,1),(WeekStart="M")+1)+8</f>
        <v>46209</v>
      </c>
      <c r="C6" s="4">
        <f ca="1"/>
        <v>46210</v>
      </c>
      <c r="D6" s="4">
        <f ca="1"/>
        <v>46211</v>
      </c>
      <c r="E6" s="4">
        <f ca="1"/>
        <v>46212</v>
      </c>
      <c r="F6" s="4">
        <f ca="1"/>
        <v>46213</v>
      </c>
      <c r="G6" s="4">
        <f ca="1"/>
        <v>46214</v>
      </c>
      <c r="H6" s="4">
        <f ca="1"/>
        <v>46215</v>
      </c>
    </row>
    <row r="7" spans="2:8" ht="39.75" customHeight="1" x14ac:dyDescent="0.15">
      <c r="B7" s="11"/>
      <c r="C7" s="11"/>
      <c r="D7" s="11"/>
      <c r="E7" s="11"/>
      <c r="F7" s="11"/>
      <c r="G7" s="13" t="s">
        <v>46</v>
      </c>
      <c r="H7" s="11"/>
    </row>
    <row r="8" spans="2:8" ht="15" customHeight="1" x14ac:dyDescent="0.15">
      <c r="B8" s="4">
        <f t="array" aca="1" ref="B8:H8" ca="1">DaysAndWeeks+DATE(CalendarYear,7,1)-WEEKDAY(DATE(CalendarYear,7,1),(WeekStart="M")+1)+15</f>
        <v>46216</v>
      </c>
      <c r="C8" s="4">
        <f ca="1"/>
        <v>46217</v>
      </c>
      <c r="D8" s="4">
        <f ca="1"/>
        <v>46218</v>
      </c>
      <c r="E8" s="4">
        <f ca="1"/>
        <v>46219</v>
      </c>
      <c r="F8" s="4">
        <f ca="1"/>
        <v>46220</v>
      </c>
      <c r="G8" s="4">
        <f ca="1"/>
        <v>46221</v>
      </c>
      <c r="H8" s="4">
        <f ca="1"/>
        <v>46222</v>
      </c>
    </row>
    <row r="9" spans="2:8" ht="39.75" customHeight="1" x14ac:dyDescent="0.15">
      <c r="B9" s="11"/>
      <c r="C9" s="11"/>
      <c r="D9" s="11"/>
      <c r="E9" s="11"/>
      <c r="F9" s="11"/>
      <c r="G9" s="13" t="s">
        <v>47</v>
      </c>
      <c r="H9" s="11"/>
    </row>
    <row r="10" spans="2:8" ht="15" customHeight="1" x14ac:dyDescent="0.15">
      <c r="B10" s="4">
        <f t="array" aca="1" ref="B10:H10" ca="1">DaysAndWeeks+DATE(CalendarYear,7,1)-WEEKDAY(DATE(CalendarYear,7,1),(WeekStart="M")+1)+22</f>
        <v>46223</v>
      </c>
      <c r="C10" s="4">
        <f ca="1"/>
        <v>46224</v>
      </c>
      <c r="D10" s="4">
        <f ca="1"/>
        <v>46225</v>
      </c>
      <c r="E10" s="4">
        <f ca="1"/>
        <v>46226</v>
      </c>
      <c r="F10" s="4">
        <f ca="1"/>
        <v>46227</v>
      </c>
      <c r="G10" s="4">
        <f ca="1"/>
        <v>46228</v>
      </c>
      <c r="H10" s="4">
        <f ca="1"/>
        <v>46229</v>
      </c>
    </row>
    <row r="11" spans="2:8" ht="40.5" customHeight="1" x14ac:dyDescent="0.15">
      <c r="B11" s="11"/>
      <c r="C11" s="11"/>
      <c r="D11" s="11"/>
      <c r="E11" s="11"/>
      <c r="F11" s="11"/>
      <c r="G11" s="13" t="s">
        <v>48</v>
      </c>
      <c r="H11" s="11"/>
    </row>
    <row r="12" spans="2:8" ht="15" customHeight="1" x14ac:dyDescent="0.15">
      <c r="B12" s="4">
        <f t="array" aca="1" ref="B12:H12" ca="1">DaysAndWeeks+DATE(CalendarYear,7,1)-WEEKDAY(DATE(CalendarYear,7,1),(WeekStart="M")+1)+29</f>
        <v>46230</v>
      </c>
      <c r="C12" s="4">
        <f ca="1"/>
        <v>46231</v>
      </c>
      <c r="D12" s="4">
        <f ca="1"/>
        <v>46232</v>
      </c>
      <c r="E12" s="4">
        <f ca="1"/>
        <v>46233</v>
      </c>
      <c r="F12" s="4">
        <f ca="1"/>
        <v>46234</v>
      </c>
      <c r="G12" s="4">
        <f ca="1"/>
        <v>46235</v>
      </c>
      <c r="H12" s="4">
        <f ca="1"/>
        <v>46236</v>
      </c>
    </row>
    <row r="13" spans="2:8" ht="39.75" customHeight="1" x14ac:dyDescent="0.15">
      <c r="B13" s="11"/>
      <c r="C13" s="11"/>
      <c r="D13" s="11"/>
      <c r="E13" s="11"/>
      <c r="F13" s="11"/>
      <c r="G13" s="11"/>
      <c r="H13" s="2"/>
    </row>
    <row r="14" spans="2:8" ht="15" customHeight="1" x14ac:dyDescent="0.15">
      <c r="B14" s="4">
        <f t="array" aca="1" ref="B14:H14" ca="1">DaysAndWeeks+DATE(CalendarYear,7,1)-WEEKDAY(DATE(CalendarYear,7,1),(WeekStart="M")+1)+36</f>
        <v>46237</v>
      </c>
      <c r="C14" s="4">
        <f ca="1"/>
        <v>46238</v>
      </c>
      <c r="D14" s="4">
        <f ca="1"/>
        <v>46239</v>
      </c>
      <c r="E14" s="4">
        <f ca="1"/>
        <v>46240</v>
      </c>
      <c r="F14" s="4">
        <f ca="1"/>
        <v>46241</v>
      </c>
      <c r="G14" s="4">
        <f ca="1"/>
        <v>46242</v>
      </c>
      <c r="H14" s="4">
        <f ca="1"/>
        <v>46243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</sheetData>
  <conditionalFormatting sqref="B4:G4">
    <cfRule type="expression" dxfId="11" priority="2">
      <formula>DAY(B4)&gt;8</formula>
    </cfRule>
  </conditionalFormatting>
  <conditionalFormatting sqref="B12:H15">
    <cfRule type="expression" dxfId="10" priority="1">
      <formula>AND(DAY(B12)&gt;=1,DAY(B12)&lt;=15)</formula>
    </cfRule>
  </conditionalFormatting>
  <hyperlinks>
    <hyperlink ref="D1" location="AUGUST!A1" tooltip="Navigation link to the next month" display="JULY -&gt;" xr:uid="{00000000-0004-0000-0600-000000000000}"/>
    <hyperlink ref="C1" location="JUNE!A1" tooltip="Navigation link to the previous month" display="&lt;- MAY" xr:uid="{00000000-0004-0000-0600-000001000000}"/>
  </hyperlinks>
  <printOptions horizontalCentered="1"/>
  <pageMargins left="0.09" right="0.5" top="0.75" bottom="0.75" header="0.3" footer="0.3"/>
  <pageSetup fitToHeight="0" orientation="landscape" horizontalDpi="4294967293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theme="4" tint="-0.249977111117893"/>
    <pageSetUpPr fitToPage="1"/>
  </sheetPr>
  <dimension ref="B1:H15"/>
  <sheetViews>
    <sheetView showGridLines="0" zoomScaleNormal="100" workbookViewId="0">
      <selection activeCell="P13" sqref="P13"/>
    </sheetView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30" customHeight="1" x14ac:dyDescent="0.3">
      <c r="B1" s="7">
        <f ca="1">CalendarYear</f>
        <v>2026</v>
      </c>
      <c r="C1" s="6" t="s">
        <v>32</v>
      </c>
      <c r="D1" s="6" t="s">
        <v>33</v>
      </c>
      <c r="E1" s="1"/>
      <c r="F1" s="1"/>
      <c r="G1" s="1"/>
      <c r="H1" s="6"/>
    </row>
    <row r="2" spans="2:8" ht="45" customHeight="1" x14ac:dyDescent="0.15">
      <c r="B2" s="8" t="s">
        <v>7</v>
      </c>
      <c r="C2" s="8"/>
      <c r="D2" s="8"/>
      <c r="E2" s="8"/>
      <c r="F2" s="3"/>
    </row>
    <row r="3" spans="2:8" ht="18.75" customHeight="1" x14ac:dyDescent="0.15">
      <c r="B3" s="5" t="str">
        <f>WeekStart</f>
        <v>M</v>
      </c>
      <c r="C3" s="5" t="str">
        <f t="shared" ref="C3:H3" ca="1" si="0">LEFT(TEXT(C4,"ddd"),1)</f>
        <v>T</v>
      </c>
      <c r="D3" s="5" t="str">
        <f t="shared" ca="1" si="0"/>
        <v>W</v>
      </c>
      <c r="E3" s="5" t="str">
        <f t="shared" ca="1" si="0"/>
        <v>T</v>
      </c>
      <c r="F3" s="5" t="str">
        <f t="shared" ca="1" si="0"/>
        <v>F</v>
      </c>
      <c r="G3" s="5" t="str">
        <f t="shared" ca="1" si="0"/>
        <v>S</v>
      </c>
      <c r="H3" s="5" t="str">
        <f t="shared" ca="1" si="0"/>
        <v>S</v>
      </c>
    </row>
    <row r="4" spans="2:8" ht="16.5" customHeight="1" x14ac:dyDescent="0.15">
      <c r="B4" s="4">
        <f t="array" aca="1" ref="B4:H4" ca="1">DaysAndWeeks+DATE(CalendarYear,8,1)-WEEKDAY(DATE(CalendarYear,8,1),(WeekStart="M")+1)+1</f>
        <v>46230</v>
      </c>
      <c r="C4" s="4">
        <f ca="1"/>
        <v>46231</v>
      </c>
      <c r="D4" s="4">
        <f ca="1"/>
        <v>46232</v>
      </c>
      <c r="E4" s="4">
        <f ca="1"/>
        <v>46233</v>
      </c>
      <c r="F4" s="4">
        <f ca="1"/>
        <v>46234</v>
      </c>
      <c r="G4" s="4">
        <f ca="1"/>
        <v>46235</v>
      </c>
      <c r="H4" s="4">
        <f ca="1"/>
        <v>46236</v>
      </c>
    </row>
    <row r="5" spans="2:8" ht="39.75" customHeight="1" x14ac:dyDescent="0.15">
      <c r="B5" s="11"/>
      <c r="C5" s="11"/>
      <c r="D5" s="11"/>
      <c r="E5" s="11"/>
      <c r="F5" s="11"/>
      <c r="G5" s="13" t="s">
        <v>49</v>
      </c>
      <c r="H5" s="11"/>
    </row>
    <row r="6" spans="2:8" ht="15" customHeight="1" x14ac:dyDescent="0.15">
      <c r="B6" s="4">
        <f t="array" aca="1" ref="B6:H6" ca="1">DaysAndWeeks+DATE(CalendarYear,8,1)-WEEKDAY(DATE(CalendarYear,8,1),(WeekStart="M")+1)+8</f>
        <v>46237</v>
      </c>
      <c r="C6" s="4">
        <f ca="1"/>
        <v>46238</v>
      </c>
      <c r="D6" s="4">
        <f ca="1"/>
        <v>46239</v>
      </c>
      <c r="E6" s="4">
        <f ca="1"/>
        <v>46240</v>
      </c>
      <c r="F6" s="4">
        <f ca="1"/>
        <v>46241</v>
      </c>
      <c r="G6" s="4">
        <f ca="1"/>
        <v>46242</v>
      </c>
      <c r="H6" s="4">
        <f ca="1"/>
        <v>46243</v>
      </c>
    </row>
    <row r="7" spans="2:8" ht="39.75" customHeight="1" x14ac:dyDescent="0.15">
      <c r="B7" s="11"/>
      <c r="C7" s="11"/>
      <c r="D7" s="11"/>
      <c r="E7" s="11"/>
      <c r="F7" s="11"/>
      <c r="G7" s="13" t="s">
        <v>50</v>
      </c>
      <c r="H7" s="11"/>
    </row>
    <row r="8" spans="2:8" ht="15" customHeight="1" x14ac:dyDescent="0.15">
      <c r="B8" s="4">
        <f t="array" aca="1" ref="B8:H8" ca="1">DaysAndWeeks+DATE(CalendarYear,8,1)-WEEKDAY(DATE(CalendarYear,8,1),(WeekStart="M")+1)+15</f>
        <v>46244</v>
      </c>
      <c r="C8" s="4">
        <f ca="1"/>
        <v>46245</v>
      </c>
      <c r="D8" s="4">
        <f ca="1"/>
        <v>46246</v>
      </c>
      <c r="E8" s="4">
        <f ca="1"/>
        <v>46247</v>
      </c>
      <c r="F8" s="4">
        <f ca="1"/>
        <v>46248</v>
      </c>
      <c r="G8" s="4">
        <f ca="1"/>
        <v>46249</v>
      </c>
      <c r="H8" s="4">
        <f ca="1"/>
        <v>46250</v>
      </c>
    </row>
    <row r="9" spans="2:8" ht="39.75" customHeight="1" x14ac:dyDescent="0.15">
      <c r="B9" s="11"/>
      <c r="C9" s="11"/>
      <c r="D9" s="11"/>
      <c r="E9" s="11"/>
      <c r="F9" s="11"/>
      <c r="G9" s="13" t="s">
        <v>51</v>
      </c>
      <c r="H9" s="11"/>
    </row>
    <row r="10" spans="2:8" ht="15" customHeight="1" x14ac:dyDescent="0.15">
      <c r="B10" s="4">
        <f t="array" aca="1" ref="B10:H10" ca="1">DaysAndWeeks+DATE(CalendarYear,8,1)-WEEKDAY(DATE(CalendarYear,8,1),(WeekStart="M")+1)+22</f>
        <v>46251</v>
      </c>
      <c r="C10" s="4">
        <f ca="1"/>
        <v>46252</v>
      </c>
      <c r="D10" s="4">
        <f ca="1"/>
        <v>46253</v>
      </c>
      <c r="E10" s="4">
        <f ca="1"/>
        <v>46254</v>
      </c>
      <c r="F10" s="4">
        <f ca="1"/>
        <v>46255</v>
      </c>
      <c r="G10" s="4">
        <f ca="1"/>
        <v>46256</v>
      </c>
      <c r="H10" s="4">
        <f ca="1"/>
        <v>46257</v>
      </c>
    </row>
    <row r="11" spans="2:8" ht="40.5" customHeight="1" x14ac:dyDescent="0.15">
      <c r="B11" s="11"/>
      <c r="C11" s="11"/>
      <c r="D11" s="11"/>
      <c r="E11" s="11"/>
      <c r="F11" s="11"/>
      <c r="G11" s="13" t="s">
        <v>53</v>
      </c>
      <c r="H11" s="11"/>
    </row>
    <row r="12" spans="2:8" ht="15" customHeight="1" x14ac:dyDescent="0.15">
      <c r="B12" s="4">
        <f t="array" aca="1" ref="B12:H12" ca="1">DaysAndWeeks+DATE(CalendarYear,8,1)-WEEKDAY(DATE(CalendarYear,8,1),(WeekStart="M")+1)+29</f>
        <v>46258</v>
      </c>
      <c r="C12" s="4">
        <f ca="1"/>
        <v>46259</v>
      </c>
      <c r="D12" s="4">
        <f ca="1"/>
        <v>46260</v>
      </c>
      <c r="E12" s="4">
        <f ca="1"/>
        <v>46261</v>
      </c>
      <c r="F12" s="4">
        <f ca="1"/>
        <v>46262</v>
      </c>
      <c r="G12" s="4">
        <f ca="1"/>
        <v>46263</v>
      </c>
      <c r="H12" s="4">
        <f ca="1"/>
        <v>46264</v>
      </c>
    </row>
    <row r="13" spans="2:8" ht="39.75" customHeight="1" x14ac:dyDescent="0.15">
      <c r="B13" s="11"/>
      <c r="C13" s="11"/>
      <c r="D13" s="11"/>
      <c r="E13" s="11"/>
      <c r="F13" s="11"/>
      <c r="G13" s="11"/>
      <c r="H13" s="17" t="s">
        <v>52</v>
      </c>
    </row>
    <row r="14" spans="2:8" ht="15" customHeight="1" x14ac:dyDescent="0.15">
      <c r="B14" s="4">
        <f t="array" aca="1" ref="B14:H14" ca="1">DaysAndWeeks+DATE(CalendarYear,8,1)-WEEKDAY(DATE(CalendarYear,8,1),(WeekStart="M")+1)+36</f>
        <v>46265</v>
      </c>
      <c r="C14" s="4">
        <f ca="1"/>
        <v>46266</v>
      </c>
      <c r="D14" s="4">
        <f ca="1"/>
        <v>46267</v>
      </c>
      <c r="E14" s="4">
        <f ca="1"/>
        <v>46268</v>
      </c>
      <c r="F14" s="4">
        <f ca="1"/>
        <v>46269</v>
      </c>
      <c r="G14" s="4">
        <f ca="1"/>
        <v>46270</v>
      </c>
      <c r="H14" s="4">
        <f ca="1"/>
        <v>46271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</sheetData>
  <conditionalFormatting sqref="B4:G4">
    <cfRule type="expression" dxfId="9" priority="2">
      <formula>DAY(B4)&gt;8</formula>
    </cfRule>
  </conditionalFormatting>
  <conditionalFormatting sqref="B12:H15">
    <cfRule type="expression" dxfId="8" priority="1">
      <formula>AND(DAY(B12)&gt;=1,DAY(B12)&lt;=15)</formula>
    </cfRule>
  </conditionalFormatting>
  <hyperlinks>
    <hyperlink ref="D1" location="SEPTEMBER!A1" tooltip="Navigation link to the next month" display="JULY -&gt;" xr:uid="{00000000-0004-0000-0700-000000000000}"/>
    <hyperlink ref="C1" location="JULY!A1" tooltip="Navigation link to the previous month" display="&lt;- MAY" xr:uid="{00000000-0004-0000-0700-000001000000}"/>
  </hyperlinks>
  <printOptions horizontalCentered="1"/>
  <pageMargins left="0.09" right="0.5" top="0.75" bottom="0.75" header="0.3" footer="0.3"/>
  <pageSetup fitToHeight="0" orientation="landscape" horizontalDpi="4294967293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theme="3" tint="0.499984740745262"/>
    <pageSetUpPr fitToPage="1"/>
  </sheetPr>
  <dimension ref="B1:H15"/>
  <sheetViews>
    <sheetView showGridLines="0" tabSelected="1" zoomScaleNormal="100" workbookViewId="0">
      <selection activeCell="G7" sqref="G7"/>
    </sheetView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30" customHeight="1" x14ac:dyDescent="0.3">
      <c r="B1" s="7">
        <f ca="1">CalendarYear</f>
        <v>2026</v>
      </c>
      <c r="C1" s="6" t="s">
        <v>34</v>
      </c>
      <c r="D1" s="6" t="s">
        <v>35</v>
      </c>
      <c r="E1" s="1"/>
      <c r="F1" s="1"/>
      <c r="G1" s="1"/>
      <c r="H1" s="6"/>
    </row>
    <row r="2" spans="2:8" ht="45" customHeight="1" x14ac:dyDescent="0.15">
      <c r="B2" s="8" t="s">
        <v>8</v>
      </c>
      <c r="C2" s="8"/>
      <c r="D2" s="8"/>
      <c r="E2" s="8"/>
      <c r="F2" s="3"/>
    </row>
    <row r="3" spans="2:8" ht="18.75" customHeight="1" x14ac:dyDescent="0.15">
      <c r="B3" s="5" t="str">
        <f>WeekStart</f>
        <v>M</v>
      </c>
      <c r="C3" s="5" t="str">
        <f t="shared" ref="C3:H3" ca="1" si="0">LEFT(TEXT(C4,"ddd"),1)</f>
        <v>T</v>
      </c>
      <c r="D3" s="5" t="str">
        <f t="shared" ca="1" si="0"/>
        <v>W</v>
      </c>
      <c r="E3" s="5" t="str">
        <f t="shared" ca="1" si="0"/>
        <v>T</v>
      </c>
      <c r="F3" s="5" t="str">
        <f t="shared" ca="1" si="0"/>
        <v>F</v>
      </c>
      <c r="G3" s="5" t="str">
        <f t="shared" ca="1" si="0"/>
        <v>S</v>
      </c>
      <c r="H3" s="5" t="str">
        <f t="shared" ca="1" si="0"/>
        <v>S</v>
      </c>
    </row>
    <row r="4" spans="2:8" ht="16.5" customHeight="1" x14ac:dyDescent="0.15">
      <c r="B4" s="4">
        <f t="array" aca="1" ref="B4:H4" ca="1">DaysAndWeeks+DATE(CalendarYear,9,1)-WEEKDAY(DATE(CalendarYear,9,1),(WeekStart="M")+1)+1</f>
        <v>46265</v>
      </c>
      <c r="C4" s="4">
        <f ca="1"/>
        <v>46266</v>
      </c>
      <c r="D4" s="4">
        <f ca="1"/>
        <v>46267</v>
      </c>
      <c r="E4" s="4">
        <f ca="1"/>
        <v>46268</v>
      </c>
      <c r="F4" s="4">
        <f ca="1"/>
        <v>46269</v>
      </c>
      <c r="G4" s="4">
        <f ca="1"/>
        <v>46270</v>
      </c>
      <c r="H4" s="4">
        <f ca="1"/>
        <v>46271</v>
      </c>
    </row>
    <row r="5" spans="2:8" ht="39.75" customHeight="1" x14ac:dyDescent="0.15">
      <c r="B5" s="11"/>
      <c r="C5" s="11"/>
      <c r="D5" s="11"/>
      <c r="E5" s="11"/>
      <c r="F5" s="11"/>
      <c r="G5" s="11"/>
      <c r="H5" s="11"/>
    </row>
    <row r="6" spans="2:8" ht="15" customHeight="1" x14ac:dyDescent="0.15">
      <c r="B6" s="4">
        <f t="array" aca="1" ref="B6:H6" ca="1">DaysAndWeeks+DATE(CalendarYear,9,1)-WEEKDAY(DATE(CalendarYear,9,1),(WeekStart="M")+1)+8</f>
        <v>46272</v>
      </c>
      <c r="C6" s="4">
        <f ca="1"/>
        <v>46273</v>
      </c>
      <c r="D6" s="4">
        <f ca="1"/>
        <v>46274</v>
      </c>
      <c r="E6" s="4">
        <f ca="1"/>
        <v>46275</v>
      </c>
      <c r="F6" s="4">
        <f ca="1"/>
        <v>46276</v>
      </c>
      <c r="G6" s="4">
        <f ca="1"/>
        <v>46277</v>
      </c>
      <c r="H6" s="4">
        <f ca="1"/>
        <v>46278</v>
      </c>
    </row>
    <row r="7" spans="2:8" ht="39.75" customHeight="1" x14ac:dyDescent="0.15">
      <c r="B7" s="11"/>
      <c r="C7" s="11"/>
      <c r="D7" s="11"/>
      <c r="E7" s="11"/>
      <c r="F7" s="11"/>
      <c r="G7" s="11" t="s">
        <v>59</v>
      </c>
      <c r="H7" s="11"/>
    </row>
    <row r="8" spans="2:8" ht="15" customHeight="1" x14ac:dyDescent="0.15">
      <c r="B8" s="4">
        <f t="array" aca="1" ref="B8:H8" ca="1">DaysAndWeeks+DATE(CalendarYear,9,1)-WEEKDAY(DATE(CalendarYear,9,1),(WeekStart="M")+1)+15</f>
        <v>46279</v>
      </c>
      <c r="C8" s="4">
        <f ca="1"/>
        <v>46280</v>
      </c>
      <c r="D8" s="4">
        <f ca="1"/>
        <v>46281</v>
      </c>
      <c r="E8" s="4">
        <f ca="1"/>
        <v>46282</v>
      </c>
      <c r="F8" s="4">
        <f ca="1"/>
        <v>46283</v>
      </c>
      <c r="G8" s="4">
        <f ca="1"/>
        <v>46284</v>
      </c>
      <c r="H8" s="4">
        <f ca="1"/>
        <v>46285</v>
      </c>
    </row>
    <row r="9" spans="2:8" ht="39.75" customHeight="1" x14ac:dyDescent="0.15">
      <c r="B9" s="11"/>
      <c r="C9" s="11"/>
      <c r="D9" s="11"/>
      <c r="E9" s="11"/>
      <c r="F9" s="11"/>
      <c r="G9" s="11"/>
      <c r="H9" s="11"/>
    </row>
    <row r="10" spans="2:8" ht="15" customHeight="1" x14ac:dyDescent="0.15">
      <c r="B10" s="4">
        <f t="array" aca="1" ref="B10:H10" ca="1">DaysAndWeeks+DATE(CalendarYear,9,1)-WEEKDAY(DATE(CalendarYear,9,1),(WeekStart="M")+1)+22</f>
        <v>46286</v>
      </c>
      <c r="C10" s="4">
        <f ca="1"/>
        <v>46287</v>
      </c>
      <c r="D10" s="4">
        <f ca="1"/>
        <v>46288</v>
      </c>
      <c r="E10" s="4">
        <f ca="1"/>
        <v>46289</v>
      </c>
      <c r="F10" s="4">
        <f ca="1"/>
        <v>46290</v>
      </c>
      <c r="G10" s="4">
        <f ca="1"/>
        <v>46291</v>
      </c>
      <c r="H10" s="4">
        <f ca="1"/>
        <v>46292</v>
      </c>
    </row>
    <row r="11" spans="2:8" ht="40.5" customHeight="1" x14ac:dyDescent="0.15">
      <c r="B11" s="11"/>
      <c r="C11" s="11"/>
      <c r="D11" s="11"/>
      <c r="E11" s="14" t="s">
        <v>39</v>
      </c>
      <c r="F11" s="11"/>
      <c r="G11" s="11"/>
      <c r="H11" s="11"/>
    </row>
    <row r="12" spans="2:8" ht="15" customHeight="1" x14ac:dyDescent="0.15">
      <c r="B12" s="4">
        <f t="array" aca="1" ref="B12:H12" ca="1">DaysAndWeeks+DATE(CalendarYear,9,1)-WEEKDAY(DATE(CalendarYear,9,1),(WeekStart="M")+1)+29</f>
        <v>46293</v>
      </c>
      <c r="C12" s="4">
        <f ca="1"/>
        <v>46294</v>
      </c>
      <c r="D12" s="4">
        <f ca="1"/>
        <v>46295</v>
      </c>
      <c r="E12" s="4">
        <f ca="1"/>
        <v>46296</v>
      </c>
      <c r="F12" s="4">
        <f ca="1"/>
        <v>46297</v>
      </c>
      <c r="G12" s="4">
        <f ca="1"/>
        <v>46298</v>
      </c>
      <c r="H12" s="4">
        <f ca="1"/>
        <v>46299</v>
      </c>
    </row>
    <row r="13" spans="2:8" ht="39.75" customHeight="1" x14ac:dyDescent="0.15">
      <c r="B13" s="11"/>
      <c r="C13" s="11"/>
      <c r="D13" s="11"/>
      <c r="E13" s="11"/>
      <c r="F13" s="11"/>
      <c r="G13" s="11"/>
      <c r="H13" s="11"/>
    </row>
    <row r="14" spans="2:8" ht="15" customHeight="1" x14ac:dyDescent="0.15">
      <c r="B14" s="4">
        <f t="array" aca="1" ref="B14:H14" ca="1">DaysAndWeeks+DATE(CalendarYear,9,1)-WEEKDAY(DATE(CalendarYear,9,1),(WeekStart="M")+1)+36</f>
        <v>46300</v>
      </c>
      <c r="C14" s="4">
        <f ca="1"/>
        <v>46301</v>
      </c>
      <c r="D14" s="4">
        <f ca="1"/>
        <v>46302</v>
      </c>
      <c r="E14" s="4">
        <f ca="1"/>
        <v>46303</v>
      </c>
      <c r="F14" s="4">
        <f ca="1"/>
        <v>46304</v>
      </c>
      <c r="G14" s="4">
        <f ca="1"/>
        <v>46305</v>
      </c>
      <c r="H14" s="4">
        <f ca="1"/>
        <v>46306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</sheetData>
  <conditionalFormatting sqref="B4:G4">
    <cfRule type="expression" dxfId="7" priority="2">
      <formula>DAY(B4)&gt;8</formula>
    </cfRule>
  </conditionalFormatting>
  <conditionalFormatting sqref="B12:H15">
    <cfRule type="expression" dxfId="6" priority="1">
      <formula>AND(DAY(B12)&gt;=1,DAY(B12)&lt;=15)</formula>
    </cfRule>
  </conditionalFormatting>
  <hyperlinks>
    <hyperlink ref="D1" location="OCTOBER!A1" tooltip="Navigation link to the next month" display="JULY -&gt;" xr:uid="{00000000-0004-0000-0800-000000000000}"/>
    <hyperlink ref="C1" location="AUGUST!A1" tooltip="Navigation link to the previous month" display="&lt;- MAY" xr:uid="{00000000-0004-0000-0800-000001000000}"/>
  </hyperlinks>
  <printOptions horizontalCentered="1"/>
  <pageMargins left="0.09" right="0.5" top="0.75" bottom="0.75" header="0.3" footer="0.3"/>
  <pageSetup fitToHeight="0" orientation="landscape" horizontalDpi="4294967293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theme="9" tint="0.39997558519241921"/>
    <pageSetUpPr fitToPage="1"/>
  </sheetPr>
  <dimension ref="B1:H15"/>
  <sheetViews>
    <sheetView showGridLines="0" zoomScaleNormal="100" workbookViewId="0">
      <selection activeCell="F10" sqref="F10"/>
    </sheetView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30" customHeight="1" x14ac:dyDescent="0.3">
      <c r="B1" s="7">
        <f ca="1">CalendarYear</f>
        <v>2026</v>
      </c>
      <c r="C1" s="6" t="s">
        <v>36</v>
      </c>
      <c r="D1" s="6" t="s">
        <v>37</v>
      </c>
      <c r="E1" s="1"/>
      <c r="F1" s="1"/>
      <c r="G1" s="1"/>
      <c r="H1" s="6"/>
    </row>
    <row r="2" spans="2:8" ht="45" customHeight="1" x14ac:dyDescent="0.15">
      <c r="B2" s="8" t="s">
        <v>9</v>
      </c>
      <c r="C2" s="8"/>
      <c r="D2" s="8"/>
      <c r="E2" s="8"/>
      <c r="F2" s="3"/>
    </row>
    <row r="3" spans="2:8" ht="18.75" customHeight="1" x14ac:dyDescent="0.15">
      <c r="B3" s="5" t="str">
        <f>WeekStart</f>
        <v>M</v>
      </c>
      <c r="C3" s="5" t="str">
        <f t="shared" ref="C3:H3" ca="1" si="0">LEFT(TEXT(C4,"ddd"),1)</f>
        <v>T</v>
      </c>
      <c r="D3" s="5" t="str">
        <f t="shared" ca="1" si="0"/>
        <v>W</v>
      </c>
      <c r="E3" s="5" t="str">
        <f t="shared" ca="1" si="0"/>
        <v>T</v>
      </c>
      <c r="F3" s="5" t="str">
        <f t="shared" ca="1" si="0"/>
        <v>F</v>
      </c>
      <c r="G3" s="5" t="str">
        <f t="shared" ca="1" si="0"/>
        <v>S</v>
      </c>
      <c r="H3" s="5" t="str">
        <f t="shared" ca="1" si="0"/>
        <v>S</v>
      </c>
    </row>
    <row r="4" spans="2:8" ht="16.5" customHeight="1" x14ac:dyDescent="0.15">
      <c r="B4" s="4">
        <f t="array" aca="1" ref="B4:H4" ca="1">DaysAndWeeks+DATE(CalendarYear,10,1)-WEEKDAY(DATE(CalendarYear,10,1),(WeekStart="M")+1)+1</f>
        <v>46293</v>
      </c>
      <c r="C4" s="4">
        <f ca="1"/>
        <v>46294</v>
      </c>
      <c r="D4" s="4">
        <f ca="1"/>
        <v>46295</v>
      </c>
      <c r="E4" s="4">
        <f ca="1"/>
        <v>46296</v>
      </c>
      <c r="F4" s="4">
        <f ca="1"/>
        <v>46297</v>
      </c>
      <c r="G4" s="4">
        <f ca="1"/>
        <v>46298</v>
      </c>
      <c r="H4" s="4">
        <f ca="1"/>
        <v>46299</v>
      </c>
    </row>
    <row r="5" spans="2:8" ht="39.75" customHeight="1" x14ac:dyDescent="0.15">
      <c r="B5" s="11"/>
      <c r="C5" s="11"/>
      <c r="D5" s="11"/>
      <c r="E5" s="11"/>
      <c r="F5" s="11"/>
      <c r="G5" s="11"/>
      <c r="H5" s="11"/>
    </row>
    <row r="6" spans="2:8" ht="15" customHeight="1" x14ac:dyDescent="0.15">
      <c r="B6" s="4">
        <f t="array" aca="1" ref="B6:H6" ca="1">DaysAndWeeks+DATE(CalendarYear,10,1)-WEEKDAY(DATE(CalendarYear,10,1),(WeekStart="M")+1)+8</f>
        <v>46300</v>
      </c>
      <c r="C6" s="4">
        <f ca="1"/>
        <v>46301</v>
      </c>
      <c r="D6" s="4">
        <f ca="1"/>
        <v>46302</v>
      </c>
      <c r="E6" s="4">
        <f ca="1"/>
        <v>46303</v>
      </c>
      <c r="F6" s="4">
        <f ca="1"/>
        <v>46304</v>
      </c>
      <c r="G6" s="4">
        <f ca="1"/>
        <v>46305</v>
      </c>
      <c r="H6" s="4">
        <f ca="1"/>
        <v>46306</v>
      </c>
    </row>
    <row r="7" spans="2:8" ht="39.75" customHeight="1" x14ac:dyDescent="0.15">
      <c r="B7" s="11"/>
      <c r="C7" s="11"/>
      <c r="D7" s="11"/>
      <c r="E7" s="11"/>
      <c r="F7" s="11"/>
      <c r="G7" s="11"/>
      <c r="H7" s="11"/>
    </row>
    <row r="8" spans="2:8" ht="15" customHeight="1" x14ac:dyDescent="0.15">
      <c r="B8" s="4">
        <f t="array" aca="1" ref="B8:H8" ca="1">DaysAndWeeks+DATE(CalendarYear,10,1)-WEEKDAY(DATE(CalendarYear,10,1),(WeekStart="M")+1)+15</f>
        <v>46307</v>
      </c>
      <c r="C8" s="4">
        <f ca="1"/>
        <v>46308</v>
      </c>
      <c r="D8" s="4">
        <f ca="1"/>
        <v>46309</v>
      </c>
      <c r="E8" s="4">
        <f ca="1"/>
        <v>46310</v>
      </c>
      <c r="F8" s="4">
        <f ca="1"/>
        <v>46311</v>
      </c>
      <c r="G8" s="4">
        <f ca="1"/>
        <v>46312</v>
      </c>
      <c r="H8" s="4">
        <f ca="1"/>
        <v>46313</v>
      </c>
    </row>
    <row r="9" spans="2:8" ht="39.75" customHeight="1" x14ac:dyDescent="0.15">
      <c r="B9" s="11"/>
      <c r="C9" s="11"/>
      <c r="D9" s="11"/>
      <c r="E9" s="11"/>
      <c r="F9" s="11" t="s">
        <v>63</v>
      </c>
      <c r="G9" s="11"/>
      <c r="H9" s="11"/>
    </row>
    <row r="10" spans="2:8" ht="15" customHeight="1" x14ac:dyDescent="0.15">
      <c r="B10" s="4">
        <f t="array" aca="1" ref="B10:H10" ca="1">DaysAndWeeks+DATE(CalendarYear,10,1)-WEEKDAY(DATE(CalendarYear,10,1),(WeekStart="M")+1)+22</f>
        <v>46314</v>
      </c>
      <c r="C10" s="4">
        <f ca="1"/>
        <v>46315</v>
      </c>
      <c r="D10" s="4">
        <f ca="1"/>
        <v>46316</v>
      </c>
      <c r="E10" s="4">
        <f ca="1"/>
        <v>46317</v>
      </c>
      <c r="F10" s="4">
        <f ca="1"/>
        <v>46318</v>
      </c>
      <c r="G10" s="4">
        <f ca="1"/>
        <v>46319</v>
      </c>
      <c r="H10" s="4">
        <f ca="1"/>
        <v>46320</v>
      </c>
    </row>
    <row r="11" spans="2:8" ht="40.5" customHeight="1" x14ac:dyDescent="0.15">
      <c r="B11" s="11"/>
      <c r="C11" s="11"/>
      <c r="D11" s="11"/>
      <c r="E11" s="11"/>
      <c r="F11" s="11"/>
      <c r="G11" s="11"/>
      <c r="H11" s="11"/>
    </row>
    <row r="12" spans="2:8" ht="15" customHeight="1" x14ac:dyDescent="0.15">
      <c r="B12" s="4">
        <f t="array" aca="1" ref="B12:H12" ca="1">DaysAndWeeks+DATE(CalendarYear,10,1)-WEEKDAY(DATE(CalendarYear,10,1),(WeekStart="M")+1)+29</f>
        <v>46321</v>
      </c>
      <c r="C12" s="4">
        <f ca="1"/>
        <v>46322</v>
      </c>
      <c r="D12" s="4">
        <f ca="1"/>
        <v>46323</v>
      </c>
      <c r="E12" s="4">
        <f ca="1"/>
        <v>46324</v>
      </c>
      <c r="F12" s="4">
        <f ca="1"/>
        <v>46325</v>
      </c>
      <c r="G12" s="4">
        <f ca="1"/>
        <v>46326</v>
      </c>
      <c r="H12" s="4">
        <f ca="1"/>
        <v>46327</v>
      </c>
    </row>
    <row r="13" spans="2:8" ht="39.75" customHeight="1" x14ac:dyDescent="0.15">
      <c r="B13" s="11"/>
      <c r="C13" s="11"/>
      <c r="D13" s="11"/>
      <c r="E13" s="11"/>
      <c r="F13" s="11"/>
      <c r="G13" s="11"/>
      <c r="H13" s="11"/>
    </row>
    <row r="14" spans="2:8" ht="15" customHeight="1" x14ac:dyDescent="0.15">
      <c r="B14" s="4">
        <f t="array" aca="1" ref="B14:H14" ca="1">DaysAndWeeks+DATE(CalendarYear,10,1)-WEEKDAY(DATE(CalendarYear,10,1),(WeekStart="M")+1)+36</f>
        <v>46328</v>
      </c>
      <c r="C14" s="4">
        <f ca="1"/>
        <v>46329</v>
      </c>
      <c r="D14" s="4">
        <f ca="1"/>
        <v>46330</v>
      </c>
      <c r="E14" s="4">
        <f ca="1"/>
        <v>46331</v>
      </c>
      <c r="F14" s="4">
        <f ca="1"/>
        <v>46332</v>
      </c>
      <c r="G14" s="4">
        <f ca="1"/>
        <v>46333</v>
      </c>
      <c r="H14" s="4">
        <f ca="1"/>
        <v>46334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</sheetData>
  <conditionalFormatting sqref="B4:G4">
    <cfRule type="expression" dxfId="5" priority="2">
      <formula>DAY(B4)&gt;8</formula>
    </cfRule>
  </conditionalFormatting>
  <conditionalFormatting sqref="B12:H15">
    <cfRule type="expression" dxfId="4" priority="1">
      <formula>AND(DAY(B12)&gt;=1,DAY(B12)&lt;=15)</formula>
    </cfRule>
  </conditionalFormatting>
  <hyperlinks>
    <hyperlink ref="D1" location="NOVEMBER!A1" tooltip="Navigation link to the next month" display="JULY -&gt;" xr:uid="{00000000-0004-0000-0900-000000000000}"/>
    <hyperlink ref="C1" location="SEPTEMBER!A1" tooltip="Navigation link to the previous month" display="&lt;- MAY" xr:uid="{00000000-0004-0000-0900-000001000000}"/>
  </hyperlinks>
  <printOptions horizontalCentered="1"/>
  <pageMargins left="0.09" right="0.5" top="0.75" bottom="0.75" header="0.3" footer="0.3"/>
  <pageSetup fitToHeight="0" orientation="landscape" horizontalDpi="4294967293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theme="9" tint="-0.249977111117893"/>
    <pageSetUpPr fitToPage="1"/>
  </sheetPr>
  <dimension ref="B1:H15"/>
  <sheetViews>
    <sheetView showGridLines="0" zoomScaleNormal="100" workbookViewId="0"/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30" customHeight="1" x14ac:dyDescent="0.3">
      <c r="B1" s="7">
        <f ca="1">CalendarYear</f>
        <v>2026</v>
      </c>
      <c r="C1" s="6" t="s">
        <v>22</v>
      </c>
      <c r="D1" s="6" t="s">
        <v>23</v>
      </c>
      <c r="E1" s="1"/>
      <c r="F1" s="1"/>
      <c r="G1" s="1"/>
      <c r="H1" s="6"/>
    </row>
    <row r="2" spans="2:8" ht="45" customHeight="1" x14ac:dyDescent="0.15">
      <c r="B2" s="8" t="s">
        <v>10</v>
      </c>
      <c r="C2" s="8"/>
      <c r="D2" s="8"/>
      <c r="E2" s="8"/>
      <c r="F2" s="3"/>
    </row>
    <row r="3" spans="2:8" ht="18.75" customHeight="1" x14ac:dyDescent="0.15">
      <c r="B3" s="5" t="str">
        <f>WeekStart</f>
        <v>M</v>
      </c>
      <c r="C3" s="5" t="str">
        <f t="shared" ref="C3:H3" ca="1" si="0">LEFT(TEXT(C4,"ddd"),1)</f>
        <v>T</v>
      </c>
      <c r="D3" s="5" t="str">
        <f t="shared" ca="1" si="0"/>
        <v>W</v>
      </c>
      <c r="E3" s="5" t="str">
        <f t="shared" ca="1" si="0"/>
        <v>T</v>
      </c>
      <c r="F3" s="5" t="str">
        <f t="shared" ca="1" si="0"/>
        <v>F</v>
      </c>
      <c r="G3" s="5" t="str">
        <f t="shared" ca="1" si="0"/>
        <v>S</v>
      </c>
      <c r="H3" s="5" t="str">
        <f t="shared" ca="1" si="0"/>
        <v>S</v>
      </c>
    </row>
    <row r="4" spans="2:8" ht="16.5" customHeight="1" x14ac:dyDescent="0.15">
      <c r="B4" s="4">
        <f t="array" aca="1" ref="B4:H4" ca="1">DaysAndWeeks+DATE(CalendarYear,11,1)-WEEKDAY(DATE(CalendarYear,11,1),(WeekStart="M")+1)+1</f>
        <v>46321</v>
      </c>
      <c r="C4" s="4">
        <f ca="1"/>
        <v>46322</v>
      </c>
      <c r="D4" s="4">
        <f ca="1"/>
        <v>46323</v>
      </c>
      <c r="E4" s="4">
        <f ca="1"/>
        <v>46324</v>
      </c>
      <c r="F4" s="4">
        <f ca="1"/>
        <v>46325</v>
      </c>
      <c r="G4" s="4">
        <f ca="1"/>
        <v>46326</v>
      </c>
      <c r="H4" s="4">
        <f ca="1"/>
        <v>46327</v>
      </c>
    </row>
    <row r="5" spans="2:8" ht="39.75" customHeight="1" x14ac:dyDescent="0.15">
      <c r="B5" s="11"/>
      <c r="C5" s="11"/>
      <c r="D5" s="11"/>
      <c r="E5" s="11"/>
      <c r="F5" s="11"/>
      <c r="G5" s="11"/>
      <c r="H5" s="11"/>
    </row>
    <row r="6" spans="2:8" ht="15" customHeight="1" x14ac:dyDescent="0.15">
      <c r="B6" s="4">
        <f t="array" aca="1" ref="B6:H6" ca="1">DaysAndWeeks+DATE(CalendarYear,11,1)-WEEKDAY(DATE(CalendarYear,11,1),(WeekStart="M")+1)+8</f>
        <v>46328</v>
      </c>
      <c r="C6" s="4">
        <f ca="1"/>
        <v>46329</v>
      </c>
      <c r="D6" s="4">
        <f ca="1"/>
        <v>46330</v>
      </c>
      <c r="E6" s="4">
        <f ca="1"/>
        <v>46331</v>
      </c>
      <c r="F6" s="4">
        <f ca="1"/>
        <v>46332</v>
      </c>
      <c r="G6" s="4">
        <f ca="1"/>
        <v>46333</v>
      </c>
      <c r="H6" s="4">
        <f ca="1"/>
        <v>46334</v>
      </c>
    </row>
    <row r="7" spans="2:8" ht="39.75" customHeight="1" x14ac:dyDescent="0.15">
      <c r="B7" s="11"/>
      <c r="C7" s="11"/>
      <c r="D7" s="11"/>
      <c r="E7" s="11"/>
      <c r="F7" s="11"/>
      <c r="G7" s="11"/>
      <c r="H7" s="11"/>
    </row>
    <row r="8" spans="2:8" ht="15" customHeight="1" x14ac:dyDescent="0.15">
      <c r="B8" s="4">
        <f t="array" aca="1" ref="B8:H8" ca="1">DaysAndWeeks+DATE(CalendarYear,11,1)-WEEKDAY(DATE(CalendarYear,11,1),(WeekStart="M")+1)+15</f>
        <v>46335</v>
      </c>
      <c r="C8" s="4">
        <f ca="1"/>
        <v>46336</v>
      </c>
      <c r="D8" s="4">
        <f ca="1"/>
        <v>46337</v>
      </c>
      <c r="E8" s="4">
        <f ca="1"/>
        <v>46338</v>
      </c>
      <c r="F8" s="4">
        <f ca="1"/>
        <v>46339</v>
      </c>
      <c r="G8" s="4">
        <f ca="1"/>
        <v>46340</v>
      </c>
      <c r="H8" s="4">
        <f ca="1"/>
        <v>46341</v>
      </c>
    </row>
    <row r="9" spans="2:8" ht="39.75" customHeight="1" x14ac:dyDescent="0.15">
      <c r="B9" s="11"/>
      <c r="C9" s="11"/>
      <c r="D9" s="11"/>
      <c r="E9" s="11"/>
      <c r="F9" s="11"/>
      <c r="G9" s="11"/>
      <c r="H9" s="11"/>
    </row>
    <row r="10" spans="2:8" ht="15" customHeight="1" x14ac:dyDescent="0.15">
      <c r="B10" s="4">
        <f t="array" aca="1" ref="B10:H10" ca="1">DaysAndWeeks+DATE(CalendarYear,11,1)-WEEKDAY(DATE(CalendarYear,11,1),(WeekStart="M")+1)+22</f>
        <v>46342</v>
      </c>
      <c r="C10" s="4">
        <f ca="1"/>
        <v>46343</v>
      </c>
      <c r="D10" s="4">
        <f ca="1"/>
        <v>46344</v>
      </c>
      <c r="E10" s="4">
        <f ca="1"/>
        <v>46345</v>
      </c>
      <c r="F10" s="4">
        <f ca="1"/>
        <v>46346</v>
      </c>
      <c r="G10" s="4">
        <f ca="1"/>
        <v>46347</v>
      </c>
      <c r="H10" s="4">
        <f ca="1"/>
        <v>46348</v>
      </c>
    </row>
    <row r="11" spans="2:8" ht="40.5" customHeight="1" x14ac:dyDescent="0.15">
      <c r="B11" s="11"/>
      <c r="C11" s="11"/>
      <c r="D11" s="11"/>
      <c r="E11" s="11"/>
      <c r="F11" s="11"/>
      <c r="G11" s="11"/>
      <c r="H11" s="11"/>
    </row>
    <row r="12" spans="2:8" ht="15" customHeight="1" x14ac:dyDescent="0.15">
      <c r="B12" s="4">
        <f t="array" aca="1" ref="B12:H12" ca="1">DaysAndWeeks+DATE(CalendarYear,11,1)-WEEKDAY(DATE(CalendarYear,11,1),(WeekStart="M")+1)+29</f>
        <v>46349</v>
      </c>
      <c r="C12" s="4">
        <f ca="1"/>
        <v>46350</v>
      </c>
      <c r="D12" s="4">
        <f ca="1"/>
        <v>46351</v>
      </c>
      <c r="E12" s="4">
        <f ca="1"/>
        <v>46352</v>
      </c>
      <c r="F12" s="4">
        <f ca="1"/>
        <v>46353</v>
      </c>
      <c r="G12" s="4">
        <f ca="1"/>
        <v>46354</v>
      </c>
      <c r="H12" s="4">
        <f ca="1"/>
        <v>46355</v>
      </c>
    </row>
    <row r="13" spans="2:8" ht="39.75" customHeight="1" x14ac:dyDescent="0.15">
      <c r="B13" s="11"/>
      <c r="C13" s="11"/>
      <c r="D13" s="11"/>
      <c r="E13" s="11"/>
      <c r="F13" s="11"/>
      <c r="G13" s="11"/>
      <c r="H13" s="11"/>
    </row>
    <row r="14" spans="2:8" ht="15" customHeight="1" x14ac:dyDescent="0.15">
      <c r="B14" s="4">
        <f t="array" aca="1" ref="B14:H14" ca="1">DaysAndWeeks+DATE(CalendarYear,11,1)-WEEKDAY(DATE(CalendarYear,11,1),(WeekStart="M")+1)+36</f>
        <v>46356</v>
      </c>
      <c r="C14" s="4">
        <f ca="1"/>
        <v>46357</v>
      </c>
      <c r="D14" s="4">
        <f ca="1"/>
        <v>46358</v>
      </c>
      <c r="E14" s="4">
        <f ca="1"/>
        <v>46359</v>
      </c>
      <c r="F14" s="4">
        <f ca="1"/>
        <v>46360</v>
      </c>
      <c r="G14" s="4">
        <f ca="1"/>
        <v>46361</v>
      </c>
      <c r="H14" s="4">
        <f ca="1"/>
        <v>46362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</sheetData>
  <conditionalFormatting sqref="B4:G4">
    <cfRule type="expression" dxfId="3" priority="2">
      <formula>DAY(B4)&gt;8</formula>
    </cfRule>
  </conditionalFormatting>
  <conditionalFormatting sqref="B12:H15">
    <cfRule type="expression" dxfId="2" priority="1">
      <formula>AND(DAY(B12)&gt;=1,DAY(B12)&lt;=15)</formula>
    </cfRule>
  </conditionalFormatting>
  <hyperlinks>
    <hyperlink ref="D1" location="DECEMBER!A1" tooltip="Navigation link to the next month" display="DECEMBER -&gt;" xr:uid="{00000000-0004-0000-0A00-000000000000}"/>
    <hyperlink ref="C1" location="OCTOBER!A1" tooltip="Navigation link to the previous month" display="&lt;- OCTOBER" xr:uid="{00000000-0004-0000-0A00-000001000000}"/>
  </hyperlinks>
  <printOptions horizontalCentered="1"/>
  <pageMargins left="0.09" right="0.5" top="0.75" bottom="0.75" header="0.3" footer="0.3"/>
  <pageSetup fitToHeight="0" orientation="landscape" horizontalDpi="4294967293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theme="9" tint="-0.499984740745262"/>
    <pageSetUpPr fitToPage="1"/>
  </sheetPr>
  <dimension ref="B1:H15"/>
  <sheetViews>
    <sheetView showGridLines="0" zoomScaleNormal="100" workbookViewId="0">
      <selection activeCell="G8" sqref="G8"/>
    </sheetView>
  </sheetViews>
  <sheetFormatPr baseColWidth="10" defaultColWidth="8.83203125" defaultRowHeight="14" x14ac:dyDescent="0.15"/>
  <cols>
    <col min="1" max="1" width="2.83203125" customWidth="1"/>
    <col min="2" max="8" width="13.83203125" customWidth="1"/>
  </cols>
  <sheetData>
    <row r="1" spans="2:8" ht="30" customHeight="1" x14ac:dyDescent="0.3">
      <c r="B1" s="7">
        <f ca="1">CalendarYear</f>
        <v>2026</v>
      </c>
      <c r="C1" s="6" t="s">
        <v>21</v>
      </c>
      <c r="D1" s="6" t="s">
        <v>38</v>
      </c>
      <c r="E1" s="1"/>
      <c r="F1" s="1"/>
      <c r="G1" s="1"/>
      <c r="H1" s="6"/>
    </row>
    <row r="2" spans="2:8" ht="45" customHeight="1" x14ac:dyDescent="0.15">
      <c r="B2" s="8" t="s">
        <v>11</v>
      </c>
      <c r="C2" s="8"/>
      <c r="D2" s="8"/>
      <c r="E2" s="8"/>
      <c r="F2" s="3"/>
    </row>
    <row r="3" spans="2:8" ht="18.75" customHeight="1" x14ac:dyDescent="0.15">
      <c r="B3" s="5" t="str">
        <f>WeekStart</f>
        <v>M</v>
      </c>
      <c r="C3" s="5" t="str">
        <f t="shared" ref="C3:H3" ca="1" si="0">LEFT(TEXT(C4,"ddd"),1)</f>
        <v>T</v>
      </c>
      <c r="D3" s="5" t="str">
        <f t="shared" ca="1" si="0"/>
        <v>W</v>
      </c>
      <c r="E3" s="5" t="str">
        <f t="shared" ca="1" si="0"/>
        <v>T</v>
      </c>
      <c r="F3" s="5" t="str">
        <f t="shared" ca="1" si="0"/>
        <v>F</v>
      </c>
      <c r="G3" s="5" t="str">
        <f t="shared" ca="1" si="0"/>
        <v>S</v>
      </c>
      <c r="H3" s="5" t="str">
        <f t="shared" ca="1" si="0"/>
        <v>S</v>
      </c>
    </row>
    <row r="4" spans="2:8" ht="16.5" customHeight="1" x14ac:dyDescent="0.15">
      <c r="B4" s="4">
        <f t="array" aca="1" ref="B4:H4" ca="1">DaysAndWeeks+DATE(CalendarYear,12,1)-WEEKDAY(DATE(CalendarYear,12,1),(WeekStart="M")+1)+1</f>
        <v>46356</v>
      </c>
      <c r="C4" s="4">
        <f ca="1"/>
        <v>46357</v>
      </c>
      <c r="D4" s="4">
        <f ca="1"/>
        <v>46358</v>
      </c>
      <c r="E4" s="4">
        <f ca="1"/>
        <v>46359</v>
      </c>
      <c r="F4" s="4">
        <f ca="1"/>
        <v>46360</v>
      </c>
      <c r="G4" s="4">
        <f ca="1"/>
        <v>46361</v>
      </c>
      <c r="H4" s="4">
        <f ca="1"/>
        <v>46362</v>
      </c>
    </row>
    <row r="5" spans="2:8" ht="39.75" customHeight="1" x14ac:dyDescent="0.15">
      <c r="B5" s="11"/>
      <c r="C5" s="11"/>
      <c r="D5" s="11"/>
      <c r="E5" s="11"/>
      <c r="F5" s="11"/>
      <c r="G5" s="11" t="s">
        <v>60</v>
      </c>
      <c r="H5" s="11"/>
    </row>
    <row r="6" spans="2:8" ht="15" customHeight="1" x14ac:dyDescent="0.15">
      <c r="B6" s="4">
        <f t="array" aca="1" ref="B6:H6" ca="1">DaysAndWeeks+DATE(CalendarYear,12,1)-WEEKDAY(DATE(CalendarYear,12,1),(WeekStart="M")+1)+8</f>
        <v>46363</v>
      </c>
      <c r="C6" s="4">
        <f ca="1"/>
        <v>46364</v>
      </c>
      <c r="D6" s="4">
        <f ca="1"/>
        <v>46365</v>
      </c>
      <c r="E6" s="4">
        <f ca="1"/>
        <v>46366</v>
      </c>
      <c r="F6" s="4">
        <f ca="1"/>
        <v>46367</v>
      </c>
      <c r="G6" s="4">
        <f ca="1"/>
        <v>46368</v>
      </c>
      <c r="H6" s="4">
        <f ca="1"/>
        <v>46369</v>
      </c>
    </row>
    <row r="7" spans="2:8" ht="39.75" customHeight="1" x14ac:dyDescent="0.15">
      <c r="B7" s="11"/>
      <c r="C7" s="11"/>
      <c r="D7" s="11"/>
      <c r="E7" s="11"/>
      <c r="F7" s="11"/>
      <c r="G7" s="11" t="s">
        <v>64</v>
      </c>
      <c r="H7" s="11"/>
    </row>
    <row r="8" spans="2:8" ht="15" customHeight="1" x14ac:dyDescent="0.15">
      <c r="B8" s="4">
        <f t="array" aca="1" ref="B8:H8" ca="1">DaysAndWeeks+DATE(CalendarYear,12,1)-WEEKDAY(DATE(CalendarYear,12,1),(WeekStart="M")+1)+15</f>
        <v>46370</v>
      </c>
      <c r="C8" s="4">
        <f ca="1"/>
        <v>46371</v>
      </c>
      <c r="D8" s="4">
        <f ca="1"/>
        <v>46372</v>
      </c>
      <c r="E8" s="4">
        <f ca="1"/>
        <v>46373</v>
      </c>
      <c r="F8" s="4">
        <f ca="1"/>
        <v>46374</v>
      </c>
      <c r="G8" s="4">
        <f ca="1"/>
        <v>46375</v>
      </c>
      <c r="H8" s="4">
        <f ca="1"/>
        <v>46376</v>
      </c>
    </row>
    <row r="9" spans="2:8" ht="39.75" customHeight="1" x14ac:dyDescent="0.15">
      <c r="B9" s="11"/>
      <c r="C9" s="11"/>
      <c r="D9" s="11"/>
      <c r="E9" s="11"/>
      <c r="F9" s="11"/>
      <c r="G9" s="11"/>
      <c r="H9" s="11"/>
    </row>
    <row r="10" spans="2:8" ht="15" customHeight="1" x14ac:dyDescent="0.15">
      <c r="B10" s="4">
        <f t="array" aca="1" ref="B10:H10" ca="1">DaysAndWeeks+DATE(CalendarYear,12,1)-WEEKDAY(DATE(CalendarYear,12,1),(WeekStart="M")+1)+22</f>
        <v>46377</v>
      </c>
      <c r="C10" s="4">
        <f ca="1"/>
        <v>46378</v>
      </c>
      <c r="D10" s="4">
        <f ca="1"/>
        <v>46379</v>
      </c>
      <c r="E10" s="4">
        <f ca="1"/>
        <v>46380</v>
      </c>
      <c r="F10" s="4">
        <f ca="1"/>
        <v>46381</v>
      </c>
      <c r="G10" s="4">
        <f ca="1"/>
        <v>46382</v>
      </c>
      <c r="H10" s="4">
        <f ca="1"/>
        <v>46383</v>
      </c>
    </row>
    <row r="11" spans="2:8" ht="40.5" customHeight="1" x14ac:dyDescent="0.15">
      <c r="B11" s="11"/>
      <c r="C11" s="11"/>
      <c r="D11" s="11"/>
      <c r="E11" s="11"/>
      <c r="F11" s="11"/>
      <c r="G11" s="11"/>
      <c r="H11" s="11"/>
    </row>
    <row r="12" spans="2:8" ht="15" customHeight="1" x14ac:dyDescent="0.15">
      <c r="B12" s="4">
        <f t="array" aca="1" ref="B12:H12" ca="1">DaysAndWeeks+DATE(CalendarYear,12,1)-WEEKDAY(DATE(CalendarYear,12,1),(WeekStart="M")+1)+29</f>
        <v>46384</v>
      </c>
      <c r="C12" s="4">
        <f ca="1"/>
        <v>46385</v>
      </c>
      <c r="D12" s="4">
        <f ca="1"/>
        <v>46386</v>
      </c>
      <c r="E12" s="4">
        <f ca="1"/>
        <v>46387</v>
      </c>
      <c r="F12" s="4">
        <f ca="1"/>
        <v>46388</v>
      </c>
      <c r="G12" s="4">
        <f ca="1"/>
        <v>46389</v>
      </c>
      <c r="H12" s="4">
        <f ca="1"/>
        <v>46390</v>
      </c>
    </row>
    <row r="13" spans="2:8" ht="39.75" customHeight="1" x14ac:dyDescent="0.15">
      <c r="B13" s="11"/>
      <c r="C13" s="11"/>
      <c r="D13" s="11"/>
      <c r="E13" s="11"/>
      <c r="F13" s="11"/>
      <c r="G13" s="11"/>
      <c r="H13" s="11"/>
    </row>
    <row r="14" spans="2:8" ht="15" customHeight="1" x14ac:dyDescent="0.15">
      <c r="B14" s="4">
        <f t="array" aca="1" ref="B14:H14" ca="1">DaysAndWeeks+DATE(CalendarYear,12,1)-WEEKDAY(DATE(CalendarYear,12,1),(WeekStart="M")+1)+36</f>
        <v>46391</v>
      </c>
      <c r="C14" s="4">
        <f ca="1"/>
        <v>46392</v>
      </c>
      <c r="D14" s="4">
        <f ca="1"/>
        <v>46393</v>
      </c>
      <c r="E14" s="4">
        <f ca="1"/>
        <v>46394</v>
      </c>
      <c r="F14" s="4">
        <f ca="1"/>
        <v>46395</v>
      </c>
      <c r="G14" s="4">
        <f ca="1"/>
        <v>46396</v>
      </c>
      <c r="H14" s="4">
        <f ca="1"/>
        <v>46397</v>
      </c>
    </row>
    <row r="15" spans="2:8" ht="39.75" customHeight="1" x14ac:dyDescent="0.15">
      <c r="B15" s="11"/>
      <c r="C15" s="11"/>
      <c r="D15" s="11"/>
      <c r="E15" s="11"/>
      <c r="F15" s="11"/>
      <c r="G15" s="11"/>
      <c r="H15" s="11"/>
    </row>
  </sheetData>
  <conditionalFormatting sqref="B4:G4">
    <cfRule type="expression" dxfId="1" priority="2">
      <formula>DAY(B4)&gt;8</formula>
    </cfRule>
  </conditionalFormatting>
  <conditionalFormatting sqref="B12:H15">
    <cfRule type="expression" dxfId="0" priority="1">
      <formula>AND(DAY(B12)&gt;=1,DAY(B12)&lt;=15)</formula>
    </cfRule>
  </conditionalFormatting>
  <hyperlinks>
    <hyperlink ref="C1" location="NOVEMBER!A1" tooltip="Navigation link to the previous month" display="&lt;- NOVEMBER" xr:uid="{00000000-0004-0000-0B00-000000000000}"/>
    <hyperlink ref="D1" location="JANUARY!A1" tooltip="Navigation link back to January" display="JANUARY -&gt;" xr:uid="{00000000-0004-0000-0B00-000001000000}"/>
  </hyperlinks>
  <printOptions horizontalCentered="1"/>
  <pageMargins left="0.09" right="0.5" top="0.75" bottom="0.75" header="0.3" footer="0.3"/>
  <pageSetup fitToHeight="0" orientation="landscape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TM10000062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CalendarYear</vt:lpstr>
      <vt:lpstr>JANUARY!Print_Area</vt:lpstr>
      <vt:lpstr>WeekStart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mujahid</dc:creator>
  <cp:lastModifiedBy>mujahid</cp:lastModifiedBy>
  <dcterms:created xsi:type="dcterms:W3CDTF">2016-11-11T22:25:27Z</dcterms:created>
  <dcterms:modified xsi:type="dcterms:W3CDTF">2026-02-25T07:22:25Z</dcterms:modified>
</cp:coreProperties>
</file>